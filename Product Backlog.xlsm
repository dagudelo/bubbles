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harts/chart4.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iego.agudelo\Documents\vastChallenge2017_example\minichallenge_1\"/>
    </mc:Choice>
  </mc:AlternateContent>
  <xr:revisionPtr revIDLastSave="0" documentId="10_ncr:100000_{8717F6B3-CEFF-40D8-99A7-0025AF02ACD7}" xr6:coauthVersionLast="31" xr6:coauthVersionMax="31" xr10:uidLastSave="{00000000-0000-0000-0000-000000000000}"/>
  <bookViews>
    <workbookView xWindow="120" yWindow="108" windowWidth="15480" windowHeight="9432" tabRatio="915" activeTab="11" xr2:uid="{00000000-000D-0000-FFFF-FFFF00000000}"/>
  </bookViews>
  <sheets>
    <sheet name="Cover Sheet" sheetId="21" r:id="rId1"/>
    <sheet name="Tab Description" sheetId="13" r:id="rId2"/>
    <sheet name="Inventario" sheetId="23" r:id="rId3"/>
    <sheet name="tareas" sheetId="24" state="hidden" r:id="rId4"/>
    <sheet name="End_to_end" sheetId="25" state="hidden" r:id="rId5"/>
    <sheet name="Holidays" sheetId="26" state="hidden" r:id="rId6"/>
    <sheet name="Sprints" sheetId="27" r:id="rId7"/>
    <sheet name="Instructions" sheetId="5" r:id="rId8"/>
    <sheet name="Sheet2" sheetId="29" state="hidden" r:id="rId9"/>
    <sheet name="Definitions" sheetId="11" r:id="rId10"/>
    <sheet name="Release Planning" sheetId="12" r:id="rId11"/>
    <sheet name="Product Backlog" sheetId="1" r:id="rId12"/>
    <sheet name="Product Backlog Details" sheetId="14" r:id="rId13"/>
    <sheet name="Burn Down Charts" sheetId="18" state="hidden" r:id="rId14"/>
    <sheet name="Burn Up Chart" sheetId="19" r:id="rId15"/>
    <sheet name="Non Functional Reqs" sheetId="6" state="hidden" r:id="rId16"/>
    <sheet name="Revision History" sheetId="22" state="hidden" r:id="rId17"/>
  </sheets>
  <externalReferences>
    <externalReference r:id="rId18"/>
    <externalReference r:id="rId19"/>
  </externalReferences>
  <definedNames>
    <definedName name="_xlnm._FilterDatabase" localSheetId="13" hidden="1">'Burn Down Charts'!$B$2:$C$15</definedName>
    <definedName name="_xlnm._FilterDatabase" localSheetId="11" hidden="1">'Product Backlog'!$A$1:$N$32</definedName>
    <definedName name="abt">#REF!</definedName>
    <definedName name="AccessMethod">[1]technical!$A$72:$A$74</definedName>
    <definedName name="Amount">[1]technical!$A$41:$A$43</definedName>
    <definedName name="App_Criticality">#REF!</definedName>
    <definedName name="App_Type">#REF!</definedName>
    <definedName name="ApplicationType">[1]technical!$A$89:$A$92</definedName>
    <definedName name="BacklogValues" localSheetId="13">'Burn Down Charts'!$C$4:$C$7</definedName>
    <definedName name="BacklogValues">#REF!</definedName>
    <definedName name="Bank">[1]technical!$A$15:$A$17</definedName>
    <definedName name="CancellationDate">[1]technical!$A$34:$A$38</definedName>
    <definedName name="chart1backlog">OFFSET('Burn Down Charts'!$C$3,1,0,COUNT('Burn Down Charts'!$C:$C),1)</definedName>
    <definedName name="chart1burnup">OFFSET('Burn Up Chart'!$U$30,0,0,COUNT('Burn Up Chart'!$U:$U),1)</definedName>
    <definedName name="chart1xaxis">OFFSET('Burn Down Charts'!$B$3,1,0,COUNTA('Burn Down Charts'!$B:$B),1)</definedName>
    <definedName name="chart2backlog">OFFSET('Burn Down Charts'!$U$30,0,0,COUNT('Burn Down Charts'!$U:$U),1)</definedName>
    <definedName name="chart2xaxis">OFFSET('Burn Down Charts'!$T$30,0,0,COUNTA('Burn Down Charts'!$T:$T),1)</definedName>
    <definedName name="Complexity">[1]technical!$A$64:$A$66</definedName>
    <definedName name="Contract">[1]technical!$A$20:$A$23</definedName>
    <definedName name="_xlnm.Criteria" localSheetId="13">'Burn Down Charts'!$G$4:$G$15</definedName>
    <definedName name="CUR_COMPLETE">SUM('[2]Status by Sprint'!$C$7:$N$7)</definedName>
    <definedName name="Data_Sensativity">#REF!</definedName>
    <definedName name="Data_Sensitivity">#REF!</definedName>
    <definedName name="DataClassification">[1]technical!$A$77:$A$80</definedName>
    <definedName name="DataModel">[1]technical!$A$50:$A$54</definedName>
    <definedName name="DecomMgr">[1]technical!$A$7:$A$12</definedName>
    <definedName name="Environment">[1]technical!$A$95:$A$104</definedName>
    <definedName name="ExternalData_1" localSheetId="8" hidden="1">Sheet2!$A$1:$A$6</definedName>
    <definedName name="_xlnm.Extract" localSheetId="13">'Burn Down Charts'!$M$26:$M$35</definedName>
    <definedName name="horas_2">Definitions!$C$44</definedName>
    <definedName name="horas_4">Definitions!$C$43</definedName>
    <definedName name="horas4">Definitions!$C$43</definedName>
    <definedName name="Id_List">'Product Backlog'!$A$2:$A$106</definedName>
    <definedName name="Inbound_Outbound">#REF!</definedName>
    <definedName name="IP_Status">#REF!</definedName>
    <definedName name="Lifecycle">[1]technical!$A$83:$A$86</definedName>
    <definedName name="min_15">Definitions!$C$45</definedName>
    <definedName name="ParticularRelease" localSheetId="13">OFFSET('Burn Down Charts'!$G$3,1,0,MATCH("R1",'Burn Down Charts'!$B23:$B33,0),1)</definedName>
    <definedName name="ParticularRelease">OFFSET(#REF!,1,0,MATCH("R1",#REF!,0),1)</definedName>
    <definedName name="Release_List">'Release Planning'!$B$5:$B$16</definedName>
    <definedName name="Releases">'Release Planning'!$B:$B</definedName>
    <definedName name="SAP">#REF!</definedName>
    <definedName name="Scope">#REF!</definedName>
    <definedName name="Sprint_List">'Release Planning'!$C$5:$C$16</definedName>
    <definedName name="targeting">#REF!</definedName>
    <definedName name="TermOfNotice">[1]technical!$A$26:$A$31</definedName>
    <definedName name="test">#REF!</definedName>
    <definedName name="test1">#REF!</definedName>
    <definedName name="test2">#REF!</definedName>
    <definedName name="Theme_List">'Product Backlog'!$C$3:$C$107</definedName>
    <definedName name="von">#REF!</definedName>
    <definedName name="xaxis" localSheetId="13">OFFSET('Burn Down Charts'!$B$3,1,0,COUNTA('Burn Down Charts'!$B:$B),1)</definedName>
    <definedName name="xaxis">OFFSET(#REF!,1,0,COUNTA(#REF!),1)</definedName>
    <definedName name="YES">[1]technical!$A$3</definedName>
    <definedName name="YesNo">[1]technical!$A$3:$A$4</definedName>
  </definedNames>
  <calcPr calcId="179017"/>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2" i="1"/>
  <c r="D6" i="19" l="1"/>
  <c r="D7" i="19"/>
  <c r="D8" i="19"/>
  <c r="D9" i="19"/>
  <c r="D10" i="19"/>
  <c r="D11" i="19"/>
  <c r="D12" i="19"/>
  <c r="D13" i="19"/>
  <c r="D14" i="19"/>
  <c r="D15" i="19"/>
  <c r="D16" i="19"/>
  <c r="D5" i="19"/>
  <c r="F12" i="12" l="1"/>
  <c r="F11" i="12"/>
  <c r="F10" i="12"/>
  <c r="F9" i="12"/>
  <c r="F8" i="12"/>
  <c r="F7" i="12"/>
  <c r="F6" i="12"/>
  <c r="F5" i="12"/>
  <c r="B53" i="25" l="1"/>
  <c r="B25" i="25"/>
  <c r="B19" i="25"/>
  <c r="CE19" i="25"/>
  <c r="AL19" i="25"/>
  <c r="G6" i="12" l="1"/>
  <c r="G5" i="12"/>
  <c r="A3" i="1"/>
  <c r="C4" i="14" s="1"/>
  <c r="C3" i="14"/>
  <c r="B3" i="14"/>
  <c r="C3" i="27"/>
  <c r="C4" i="27"/>
  <c r="C5" i="27"/>
  <c r="C6" i="27"/>
  <c r="C7" i="27"/>
  <c r="C8" i="27"/>
  <c r="C9" i="27"/>
  <c r="C10" i="27"/>
  <c r="C2" i="27"/>
  <c r="DB28" i="25"/>
  <c r="A4" i="1" l="1"/>
  <c r="B4" i="14"/>
  <c r="DX30" i="25"/>
  <c r="DX29" i="25"/>
  <c r="DX28" i="25"/>
  <c r="DX27" i="25"/>
  <c r="DX26" i="25"/>
  <c r="DV30" i="25"/>
  <c r="DU30" i="25"/>
  <c r="DT30" i="25"/>
  <c r="DS30" i="25"/>
  <c r="DR30" i="25"/>
  <c r="DV29" i="25"/>
  <c r="DU29" i="25"/>
  <c r="DT29" i="25"/>
  <c r="DS29" i="25"/>
  <c r="DR29" i="25"/>
  <c r="DV28" i="25"/>
  <c r="DU28" i="25"/>
  <c r="DT28" i="25"/>
  <c r="DS28" i="25"/>
  <c r="DR28" i="25"/>
  <c r="DV27" i="25"/>
  <c r="DU27" i="25"/>
  <c r="DT27" i="25"/>
  <c r="DS27" i="25"/>
  <c r="DR27" i="25"/>
  <c r="DV26" i="25"/>
  <c r="DU26" i="25"/>
  <c r="DT26" i="25"/>
  <c r="DS26" i="25"/>
  <c r="DR26" i="25"/>
  <c r="DP30" i="25"/>
  <c r="DO30" i="25"/>
  <c r="DN30" i="25"/>
  <c r="DM30" i="25"/>
  <c r="DP29" i="25"/>
  <c r="DO29" i="25"/>
  <c r="DN29" i="25"/>
  <c r="DM29" i="25"/>
  <c r="DP28" i="25"/>
  <c r="DO28" i="25"/>
  <c r="DN28" i="25"/>
  <c r="DM28" i="25"/>
  <c r="DP27" i="25"/>
  <c r="DO27" i="25"/>
  <c r="DN27" i="25"/>
  <c r="DM27" i="25"/>
  <c r="DP26" i="25"/>
  <c r="DO26" i="25"/>
  <c r="DN26" i="25"/>
  <c r="DM26" i="25"/>
  <c r="DK30" i="25"/>
  <c r="DJ30" i="25"/>
  <c r="DI30" i="25"/>
  <c r="DK29" i="25"/>
  <c r="DJ29" i="25"/>
  <c r="DI29" i="25"/>
  <c r="DK28" i="25"/>
  <c r="DJ28" i="25"/>
  <c r="DI28" i="25"/>
  <c r="DK27" i="25"/>
  <c r="DJ27" i="25"/>
  <c r="DI27" i="25"/>
  <c r="DK26" i="25"/>
  <c r="DJ26" i="25"/>
  <c r="DI26" i="25"/>
  <c r="DG30" i="25"/>
  <c r="DF30" i="25"/>
  <c r="DE30" i="25"/>
  <c r="DD30" i="25"/>
  <c r="DC30" i="25"/>
  <c r="DG29" i="25"/>
  <c r="DF29" i="25"/>
  <c r="DE29" i="25"/>
  <c r="DD29" i="25"/>
  <c r="DC29" i="25"/>
  <c r="DG28" i="25"/>
  <c r="DF28" i="25"/>
  <c r="DE28" i="25"/>
  <c r="DD28" i="25"/>
  <c r="DC28" i="25"/>
  <c r="DG27" i="25"/>
  <c r="DF27" i="25"/>
  <c r="DE27" i="25"/>
  <c r="DD27" i="25"/>
  <c r="DC27" i="25"/>
  <c r="DG26" i="25"/>
  <c r="DF26" i="25"/>
  <c r="DE26" i="25"/>
  <c r="DD26" i="25"/>
  <c r="DC26" i="25"/>
  <c r="DA30" i="25"/>
  <c r="CZ30" i="25"/>
  <c r="CY30" i="25"/>
  <c r="CX30" i="25"/>
  <c r="CW30" i="25"/>
  <c r="DA29" i="25"/>
  <c r="CZ29" i="25"/>
  <c r="CY29" i="25"/>
  <c r="CX29" i="25"/>
  <c r="CW29" i="25"/>
  <c r="DA28" i="25"/>
  <c r="CZ28" i="25"/>
  <c r="CY28" i="25"/>
  <c r="CX28" i="25"/>
  <c r="CW28" i="25"/>
  <c r="DA27" i="25"/>
  <c r="CZ27" i="25"/>
  <c r="CY27" i="25"/>
  <c r="CX27" i="25"/>
  <c r="CW27" i="25"/>
  <c r="DA26" i="25"/>
  <c r="CZ26" i="25"/>
  <c r="CY26" i="25"/>
  <c r="CX26" i="25"/>
  <c r="CW26" i="25"/>
  <c r="CU30" i="25"/>
  <c r="CT30" i="25"/>
  <c r="CS30" i="25"/>
  <c r="CU29" i="25"/>
  <c r="CT29" i="25"/>
  <c r="CS29" i="25"/>
  <c r="CU28" i="25"/>
  <c r="CT28" i="25"/>
  <c r="CS28" i="25"/>
  <c r="CU27" i="25"/>
  <c r="CT27" i="25"/>
  <c r="CS27" i="25"/>
  <c r="CU26" i="25"/>
  <c r="CT26" i="25"/>
  <c r="CS26" i="25"/>
  <c r="CQ30" i="25"/>
  <c r="CP30" i="25"/>
  <c r="CO30" i="25"/>
  <c r="CN30" i="25"/>
  <c r="CQ29" i="25"/>
  <c r="CP29" i="25"/>
  <c r="CO29" i="25"/>
  <c r="CN29" i="25"/>
  <c r="CQ28" i="25"/>
  <c r="CP28" i="25"/>
  <c r="CO28" i="25"/>
  <c r="CN28" i="25"/>
  <c r="CQ27" i="25"/>
  <c r="CP27" i="25"/>
  <c r="CO27" i="25"/>
  <c r="CN27" i="25"/>
  <c r="CQ26" i="25"/>
  <c r="CP26" i="25"/>
  <c r="CO26" i="25"/>
  <c r="CN26" i="25"/>
  <c r="CL30" i="25"/>
  <c r="CK30" i="25"/>
  <c r="CJ30" i="25"/>
  <c r="CI30" i="25"/>
  <c r="CL29" i="25"/>
  <c r="CK29" i="25"/>
  <c r="CJ29" i="25"/>
  <c r="CI29" i="25"/>
  <c r="CL28" i="25"/>
  <c r="CK28" i="25"/>
  <c r="CJ28" i="25"/>
  <c r="CI28" i="25"/>
  <c r="CL27" i="25"/>
  <c r="CK27" i="25"/>
  <c r="CJ27" i="25"/>
  <c r="CI27" i="25"/>
  <c r="CL26" i="25"/>
  <c r="CK26" i="25"/>
  <c r="CJ26" i="25"/>
  <c r="CI26" i="25"/>
  <c r="CG30" i="25"/>
  <c r="CF30" i="25"/>
  <c r="CE30" i="25"/>
  <c r="CD30" i="25"/>
  <c r="CG29" i="25"/>
  <c r="CF29" i="25"/>
  <c r="CE29" i="25"/>
  <c r="CD29" i="25"/>
  <c r="CG28" i="25"/>
  <c r="CF28" i="25"/>
  <c r="CE28" i="25"/>
  <c r="CD28" i="25"/>
  <c r="CG27" i="25"/>
  <c r="CF27" i="25"/>
  <c r="CG26" i="25"/>
  <c r="CF26" i="25"/>
  <c r="CE26" i="25"/>
  <c r="CD26" i="25"/>
  <c r="CB30" i="25"/>
  <c r="CA30" i="25"/>
  <c r="BZ30" i="25"/>
  <c r="BY30" i="25"/>
  <c r="CB29" i="25"/>
  <c r="CA29" i="25"/>
  <c r="BZ29" i="25"/>
  <c r="BY29" i="25"/>
  <c r="CB28" i="25"/>
  <c r="CA28" i="25"/>
  <c r="BZ28" i="25"/>
  <c r="BY28" i="25"/>
  <c r="CB27" i="25"/>
  <c r="CA27" i="25"/>
  <c r="BZ27" i="25"/>
  <c r="BY27" i="25"/>
  <c r="CB26" i="25"/>
  <c r="CA26" i="25"/>
  <c r="BZ26" i="25"/>
  <c r="BY26" i="25"/>
  <c r="BW30" i="25"/>
  <c r="BV30" i="25"/>
  <c r="BU30" i="25"/>
  <c r="BT30" i="25"/>
  <c r="BW29" i="25"/>
  <c r="BV29" i="25"/>
  <c r="BU29" i="25"/>
  <c r="BT29" i="25"/>
  <c r="BW28" i="25"/>
  <c r="BV28" i="25"/>
  <c r="BU28" i="25"/>
  <c r="BT28" i="25"/>
  <c r="BW27" i="25"/>
  <c r="BV27" i="25"/>
  <c r="BU27" i="25"/>
  <c r="BT27" i="25"/>
  <c r="BW26" i="25"/>
  <c r="BV26" i="25"/>
  <c r="BU26" i="25"/>
  <c r="BT26" i="25"/>
  <c r="BR30" i="25"/>
  <c r="BR29" i="25"/>
  <c r="BR28" i="25"/>
  <c r="BR27" i="25"/>
  <c r="BR26" i="25"/>
  <c r="BP29" i="25"/>
  <c r="BN29" i="25"/>
  <c r="BM29" i="25"/>
  <c r="BL29" i="25"/>
  <c r="BK29" i="25"/>
  <c r="BJ29" i="25"/>
  <c r="BP30" i="25"/>
  <c r="BO30" i="25"/>
  <c r="BN30" i="25"/>
  <c r="BM30" i="25"/>
  <c r="BL30" i="25"/>
  <c r="BK30" i="25"/>
  <c r="BJ30" i="25"/>
  <c r="BI30" i="25"/>
  <c r="BH30" i="25"/>
  <c r="BG30" i="25"/>
  <c r="BF30" i="25"/>
  <c r="BE30" i="25"/>
  <c r="BD30" i="25"/>
  <c r="BH29" i="25"/>
  <c r="BG29" i="25"/>
  <c r="BP28" i="25"/>
  <c r="BO28" i="25"/>
  <c r="BN28" i="25"/>
  <c r="BM28" i="25"/>
  <c r="BL28" i="25"/>
  <c r="BF28" i="25"/>
  <c r="BE28" i="25"/>
  <c r="BD28" i="25"/>
  <c r="BP27" i="25"/>
  <c r="BO27" i="25"/>
  <c r="BN27" i="25"/>
  <c r="BM27" i="25"/>
  <c r="BL27" i="25"/>
  <c r="BK27" i="25"/>
  <c r="BJ27" i="25"/>
  <c r="BI27" i="25"/>
  <c r="BH27" i="25"/>
  <c r="BG27" i="25"/>
  <c r="BF27" i="25"/>
  <c r="BE27" i="25"/>
  <c r="BD27" i="25"/>
  <c r="BP26" i="25"/>
  <c r="BO26" i="25"/>
  <c r="BN26" i="25"/>
  <c r="BM26" i="25"/>
  <c r="BL26" i="25"/>
  <c r="BK26" i="25"/>
  <c r="BJ26" i="25"/>
  <c r="BI26" i="25"/>
  <c r="BH26" i="25"/>
  <c r="BG26" i="25"/>
  <c r="BF26" i="25"/>
  <c r="BE26" i="25"/>
  <c r="BD26" i="25"/>
  <c r="BC30" i="25"/>
  <c r="BB30" i="25"/>
  <c r="BA30" i="25"/>
  <c r="AZ30" i="25"/>
  <c r="BA29" i="25"/>
  <c r="AZ29" i="25"/>
  <c r="BC28" i="25"/>
  <c r="BB28" i="25"/>
  <c r="BA28" i="25"/>
  <c r="AZ28" i="25"/>
  <c r="BC27" i="25"/>
  <c r="BB27" i="25"/>
  <c r="BA27" i="25"/>
  <c r="AZ27" i="25"/>
  <c r="BC26" i="25"/>
  <c r="BB26" i="25"/>
  <c r="BA26" i="25"/>
  <c r="AZ26" i="25"/>
  <c r="AX30" i="25"/>
  <c r="AW30" i="25"/>
  <c r="AV30" i="25"/>
  <c r="AU30" i="25"/>
  <c r="AX29" i="25"/>
  <c r="AW29" i="25"/>
  <c r="AV29" i="25"/>
  <c r="AU29" i="25"/>
  <c r="AX28" i="25"/>
  <c r="AW28" i="25"/>
  <c r="AV28" i="25"/>
  <c r="AU28" i="25"/>
  <c r="AX27" i="25"/>
  <c r="AW27" i="25"/>
  <c r="AV27" i="25"/>
  <c r="AU27" i="25"/>
  <c r="AX26" i="25"/>
  <c r="AW26" i="25"/>
  <c r="AV26" i="25"/>
  <c r="AU26" i="25"/>
  <c r="AS30" i="25"/>
  <c r="AR30" i="25"/>
  <c r="AQ30" i="25"/>
  <c r="AP30" i="25"/>
  <c r="AS29" i="25"/>
  <c r="AR29" i="25"/>
  <c r="AQ29" i="25"/>
  <c r="AP29" i="25"/>
  <c r="AS28" i="25"/>
  <c r="AR28" i="25"/>
  <c r="AQ28" i="25"/>
  <c r="AP28" i="25"/>
  <c r="AS27" i="25"/>
  <c r="AR27" i="25"/>
  <c r="AQ27" i="25"/>
  <c r="AP27" i="25"/>
  <c r="AS26" i="25"/>
  <c r="AR26" i="25"/>
  <c r="AQ26" i="25"/>
  <c r="AP26" i="25"/>
  <c r="AN30" i="25"/>
  <c r="AM30" i="25"/>
  <c r="AL30" i="25"/>
  <c r="AN29" i="25"/>
  <c r="AM29" i="25"/>
  <c r="AL29" i="25"/>
  <c r="AN28" i="25"/>
  <c r="AM28" i="25"/>
  <c r="AL28" i="25"/>
  <c r="AN27" i="25"/>
  <c r="AM27" i="25"/>
  <c r="AL27" i="25"/>
  <c r="AN26" i="25"/>
  <c r="AM26" i="25"/>
  <c r="AL26" i="25"/>
  <c r="AJ30" i="25"/>
  <c r="AI30" i="25"/>
  <c r="AH30" i="25"/>
  <c r="AG30" i="25"/>
  <c r="AJ29" i="25"/>
  <c r="AI29" i="25"/>
  <c r="AH29" i="25"/>
  <c r="AG29" i="25"/>
  <c r="AJ28" i="25"/>
  <c r="AI28" i="25"/>
  <c r="AH28" i="25"/>
  <c r="AG28" i="25"/>
  <c r="AJ27" i="25"/>
  <c r="AI27" i="25"/>
  <c r="AH27" i="25"/>
  <c r="AG27" i="25"/>
  <c r="AJ26" i="25"/>
  <c r="AI26" i="25"/>
  <c r="AH26" i="25"/>
  <c r="AG26" i="25"/>
  <c r="AF29" i="25"/>
  <c r="AA29" i="25"/>
  <c r="AA30" i="25"/>
  <c r="AE30" i="25"/>
  <c r="AD30" i="25"/>
  <c r="AC30" i="25"/>
  <c r="AB30" i="25"/>
  <c r="AE29" i="25"/>
  <c r="AD29" i="25"/>
  <c r="AC29" i="25"/>
  <c r="AB29" i="25"/>
  <c r="AE28" i="25"/>
  <c r="AD28" i="25"/>
  <c r="AC28" i="25"/>
  <c r="AB28" i="25"/>
  <c r="AE27" i="25"/>
  <c r="AD27" i="25"/>
  <c r="AC27" i="25"/>
  <c r="AB27" i="25"/>
  <c r="AE26" i="25"/>
  <c r="AD26" i="25"/>
  <c r="AC26" i="25"/>
  <c r="AB26" i="25"/>
  <c r="Z30" i="25"/>
  <c r="Y30" i="25"/>
  <c r="X30" i="25"/>
  <c r="W30" i="25"/>
  <c r="Z29" i="25"/>
  <c r="Y29" i="25"/>
  <c r="X29" i="25"/>
  <c r="W29" i="25"/>
  <c r="Z28" i="25"/>
  <c r="Y28" i="25"/>
  <c r="X28" i="25"/>
  <c r="W28" i="25"/>
  <c r="Z27" i="25"/>
  <c r="Y27" i="25"/>
  <c r="X27" i="25"/>
  <c r="W27" i="25"/>
  <c r="Z26" i="25"/>
  <c r="Y26" i="25"/>
  <c r="X26" i="25"/>
  <c r="W26" i="25"/>
  <c r="U30" i="25"/>
  <c r="U29" i="25"/>
  <c r="U28" i="25"/>
  <c r="U27" i="25"/>
  <c r="U26" i="25"/>
  <c r="T30" i="25"/>
  <c r="T29" i="25"/>
  <c r="T28" i="25"/>
  <c r="T27" i="25"/>
  <c r="T26" i="25"/>
  <c r="S30" i="25"/>
  <c r="S29" i="25"/>
  <c r="S28" i="25"/>
  <c r="S27" i="25"/>
  <c r="S26" i="25"/>
  <c r="Q30" i="25"/>
  <c r="Q29" i="25"/>
  <c r="Q28" i="25"/>
  <c r="Q27" i="25"/>
  <c r="Q26" i="25"/>
  <c r="P30" i="25"/>
  <c r="P29" i="25"/>
  <c r="P28" i="25"/>
  <c r="P27" i="25"/>
  <c r="P26" i="25"/>
  <c r="O30" i="25"/>
  <c r="O29" i="25"/>
  <c r="O28" i="25"/>
  <c r="O27" i="25"/>
  <c r="O26" i="25"/>
  <c r="N30" i="25"/>
  <c r="N29" i="25"/>
  <c r="N28" i="25"/>
  <c r="N27" i="25"/>
  <c r="N26" i="25"/>
  <c r="L30" i="25"/>
  <c r="L29" i="25"/>
  <c r="L28" i="25"/>
  <c r="L27" i="25"/>
  <c r="L26" i="25"/>
  <c r="K30" i="25"/>
  <c r="K29" i="25"/>
  <c r="K28" i="25"/>
  <c r="K27" i="25"/>
  <c r="K26" i="25"/>
  <c r="J30" i="25"/>
  <c r="J29" i="25"/>
  <c r="J28" i="25"/>
  <c r="J27" i="25"/>
  <c r="J26" i="25"/>
  <c r="DW30" i="25"/>
  <c r="DW29" i="25"/>
  <c r="DW28" i="25"/>
  <c r="DW27" i="25"/>
  <c r="DW26" i="25"/>
  <c r="DQ30" i="25"/>
  <c r="DQ29" i="25"/>
  <c r="DQ28" i="25"/>
  <c r="DQ27" i="25"/>
  <c r="DQ26" i="25"/>
  <c r="DL30" i="25"/>
  <c r="DL29" i="25"/>
  <c r="DL28" i="25"/>
  <c r="DL27" i="25"/>
  <c r="DL26" i="25"/>
  <c r="DH30" i="25"/>
  <c r="DH29" i="25"/>
  <c r="DH28" i="25"/>
  <c r="DH27" i="25"/>
  <c r="DH26" i="25"/>
  <c r="DB30" i="25"/>
  <c r="DB29" i="25"/>
  <c r="DB27" i="25"/>
  <c r="DB26" i="25"/>
  <c r="CV30" i="25"/>
  <c r="CV29" i="25"/>
  <c r="CV28" i="25"/>
  <c r="CV27" i="25"/>
  <c r="CV26" i="25"/>
  <c r="CR30" i="25"/>
  <c r="CR29" i="25"/>
  <c r="CR28" i="25"/>
  <c r="CR27" i="25"/>
  <c r="CR26" i="25"/>
  <c r="CM30" i="25"/>
  <c r="CM29" i="25"/>
  <c r="CM28" i="25"/>
  <c r="CM27" i="25"/>
  <c r="CM26" i="25"/>
  <c r="BQ30" i="25"/>
  <c r="BQ29" i="25"/>
  <c r="BQ28" i="25"/>
  <c r="BQ27" i="25"/>
  <c r="BQ26" i="25"/>
  <c r="CH30" i="25"/>
  <c r="CH29" i="25"/>
  <c r="CH28" i="25"/>
  <c r="CH27" i="25"/>
  <c r="CH26" i="25"/>
  <c r="CC30" i="25"/>
  <c r="CC29" i="25"/>
  <c r="CC28" i="25"/>
  <c r="CC26" i="25"/>
  <c r="BX30" i="25"/>
  <c r="BX29" i="25"/>
  <c r="BX28" i="25"/>
  <c r="BX27" i="25"/>
  <c r="BX26" i="25"/>
  <c r="BS30" i="25"/>
  <c r="BS29" i="25"/>
  <c r="BS28" i="25"/>
  <c r="BS27" i="25"/>
  <c r="BS26" i="25"/>
  <c r="BO29" i="25"/>
  <c r="BI29" i="25"/>
  <c r="AY30" i="25"/>
  <c r="AY28" i="25"/>
  <c r="AY27" i="25"/>
  <c r="AY26" i="25"/>
  <c r="AT30" i="25"/>
  <c r="AT28" i="25"/>
  <c r="AT27" i="25"/>
  <c r="AT26" i="25"/>
  <c r="AO30" i="25"/>
  <c r="AO28" i="25"/>
  <c r="AO27" i="25"/>
  <c r="AO26" i="25"/>
  <c r="AK30" i="25"/>
  <c r="AK28" i="25"/>
  <c r="AK27" i="25"/>
  <c r="AK26" i="25"/>
  <c r="AF30" i="25"/>
  <c r="AF28" i="25"/>
  <c r="AF27" i="25"/>
  <c r="AF26" i="25"/>
  <c r="AA28" i="25"/>
  <c r="AA27" i="25"/>
  <c r="AA26" i="25"/>
  <c r="V30" i="25"/>
  <c r="V29" i="25"/>
  <c r="V28" i="25"/>
  <c r="V27" i="25"/>
  <c r="V26" i="25"/>
  <c r="R30" i="25"/>
  <c r="R29" i="25"/>
  <c r="R28" i="25"/>
  <c r="R27" i="25"/>
  <c r="R26" i="25"/>
  <c r="M27" i="25"/>
  <c r="M28" i="25"/>
  <c r="M29" i="25"/>
  <c r="M30" i="25"/>
  <c r="M26" i="25"/>
  <c r="H30" i="25"/>
  <c r="H29" i="25"/>
  <c r="H28" i="25"/>
  <c r="H27" i="25"/>
  <c r="H26" i="25"/>
  <c r="F30" i="25"/>
  <c r="F29" i="25"/>
  <c r="F28" i="25"/>
  <c r="F27" i="25"/>
  <c r="F26" i="25"/>
  <c r="D26" i="25"/>
  <c r="E26" i="25"/>
  <c r="G26" i="25"/>
  <c r="D27" i="25"/>
  <c r="E27" i="25"/>
  <c r="G27" i="25"/>
  <c r="D28" i="25"/>
  <c r="E28" i="25"/>
  <c r="G28" i="25"/>
  <c r="D29" i="25"/>
  <c r="E29" i="25"/>
  <c r="G29" i="25"/>
  <c r="D30" i="25"/>
  <c r="E30" i="25"/>
  <c r="G30" i="25"/>
  <c r="B23" i="25"/>
  <c r="B24" i="25"/>
  <c r="B22" i="25"/>
  <c r="I26" i="25"/>
  <c r="I27" i="25"/>
  <c r="I28" i="25"/>
  <c r="I29" i="25"/>
  <c r="I30" i="25"/>
  <c r="C27" i="25"/>
  <c r="C28" i="25"/>
  <c r="C29" i="25"/>
  <c r="C30" i="25"/>
  <c r="C26" i="25"/>
  <c r="C45" i="11"/>
  <c r="C44" i="11"/>
  <c r="C43" i="11"/>
  <c r="A5" i="1" l="1"/>
  <c r="B5" i="14"/>
  <c r="C5" i="14"/>
  <c r="B29" i="25"/>
  <c r="B28" i="25"/>
  <c r="B26" i="25"/>
  <c r="B27" i="25"/>
  <c r="B30" i="25"/>
  <c r="A6" i="26"/>
  <c r="A5" i="26"/>
  <c r="A4" i="26"/>
  <c r="A3" i="26"/>
  <c r="A2" i="26"/>
  <c r="A1" i="26"/>
  <c r="H35" i="25"/>
  <c r="C2" i="25"/>
  <c r="A6" i="1" l="1"/>
  <c r="C7" i="14" s="1"/>
  <c r="B6" i="14"/>
  <c r="C6" i="14"/>
  <c r="D16" i="25"/>
  <c r="A7" i="1" l="1"/>
  <c r="C8" i="14" s="1"/>
  <c r="B7" i="14"/>
  <c r="E16" i="25"/>
  <c r="F16" i="25"/>
  <c r="C6" i="19"/>
  <c r="C7" i="19"/>
  <c r="C8" i="19"/>
  <c r="C9" i="19"/>
  <c r="C10" i="19"/>
  <c r="C11" i="19"/>
  <c r="C12" i="19"/>
  <c r="C13" i="19"/>
  <c r="C14" i="19"/>
  <c r="C15" i="19"/>
  <c r="C16" i="19"/>
  <c r="C5" i="19"/>
  <c r="B6" i="19"/>
  <c r="B7" i="19"/>
  <c r="B8" i="19"/>
  <c r="B9" i="19"/>
  <c r="B10" i="19"/>
  <c r="B11" i="19"/>
  <c r="B12" i="19"/>
  <c r="B13" i="19"/>
  <c r="B14" i="19"/>
  <c r="B15" i="19"/>
  <c r="B16" i="19"/>
  <c r="B5" i="19"/>
  <c r="G4" i="18"/>
  <c r="B4" i="18"/>
  <c r="B5" i="18"/>
  <c r="B6" i="18"/>
  <c r="B7" i="18"/>
  <c r="B8" i="18"/>
  <c r="B9" i="18"/>
  <c r="B10" i="18"/>
  <c r="B11" i="18"/>
  <c r="B12" i="18"/>
  <c r="B13" i="18"/>
  <c r="B14" i="18"/>
  <c r="B15" i="18"/>
  <c r="H4" i="18"/>
  <c r="G5" i="18"/>
  <c r="H5" i="18"/>
  <c r="G6" i="18"/>
  <c r="H6" i="18"/>
  <c r="G7" i="18"/>
  <c r="H7" i="18"/>
  <c r="G8" i="18"/>
  <c r="H8" i="18"/>
  <c r="G9" i="18"/>
  <c r="H9" i="18"/>
  <c r="G10" i="18"/>
  <c r="H10" i="18"/>
  <c r="G11" i="18"/>
  <c r="H11" i="18"/>
  <c r="G12" i="18"/>
  <c r="H12" i="18"/>
  <c r="G13" i="18"/>
  <c r="H13" i="18"/>
  <c r="G14" i="18"/>
  <c r="H14" i="18"/>
  <c r="G15" i="18"/>
  <c r="H15" i="18"/>
  <c r="G18" i="12"/>
  <c r="F153" i="14"/>
  <c r="A8" i="1" l="1"/>
  <c r="B8" i="14"/>
  <c r="H16" i="25"/>
  <c r="C9" i="14" l="1"/>
  <c r="A9" i="1"/>
  <c r="B9" i="14"/>
  <c r="I16" i="25"/>
  <c r="C10" i="14" l="1"/>
  <c r="B10" i="14"/>
  <c r="A10" i="1"/>
  <c r="J16" i="25"/>
  <c r="A11" i="1" l="1"/>
  <c r="B11" i="14"/>
  <c r="C11" i="14"/>
  <c r="K16" i="25"/>
  <c r="A12" i="1" l="1"/>
  <c r="L16" i="25"/>
  <c r="A13" i="1" l="1"/>
  <c r="M16" i="25"/>
  <c r="A14" i="1" l="1"/>
  <c r="B14" i="14"/>
  <c r="N16" i="25"/>
  <c r="A15" i="1" l="1"/>
  <c r="A16" i="1" s="1"/>
  <c r="A17" i="1" s="1"/>
  <c r="A18" i="1" s="1"/>
  <c r="A19" i="1" s="1"/>
  <c r="A20" i="1" s="1"/>
  <c r="A21" i="1" s="1"/>
  <c r="A22" i="1" s="1"/>
  <c r="A23" i="1" s="1"/>
  <c r="A24" i="1" s="1"/>
  <c r="A25" i="1" s="1"/>
  <c r="A26" i="1" s="1"/>
  <c r="A27" i="1" s="1"/>
  <c r="O16" i="25"/>
  <c r="C59" i="14" l="1"/>
  <c r="C21" i="14"/>
  <c r="B101" i="14"/>
  <c r="C81" i="14"/>
  <c r="B132" i="14"/>
  <c r="B126" i="14"/>
  <c r="C101" i="14"/>
  <c r="C57" i="14"/>
  <c r="C138" i="14"/>
  <c r="C52" i="14"/>
  <c r="C15" i="14"/>
  <c r="C85" i="14"/>
  <c r="C74" i="14"/>
  <c r="B87" i="14"/>
  <c r="B70" i="14"/>
  <c r="C56" i="14"/>
  <c r="C77" i="14"/>
  <c r="C130" i="14"/>
  <c r="C102" i="14"/>
  <c r="B119" i="14"/>
  <c r="C13" i="14"/>
  <c r="B42" i="14"/>
  <c r="C88" i="14"/>
  <c r="C45" i="14"/>
  <c r="B102" i="14"/>
  <c r="C26" i="14"/>
  <c r="B25" i="14"/>
  <c r="C98" i="14"/>
  <c r="B60" i="14"/>
  <c r="B52" i="14"/>
  <c r="B91" i="14"/>
  <c r="C110" i="14"/>
  <c r="C121" i="14"/>
  <c r="B16" i="14"/>
  <c r="B124" i="14"/>
  <c r="C12" i="14"/>
  <c r="C122" i="14"/>
  <c r="C38" i="14"/>
  <c r="C99" i="14"/>
  <c r="B41" i="14"/>
  <c r="B71" i="14"/>
  <c r="B53" i="14"/>
  <c r="B78" i="14"/>
  <c r="C131" i="14"/>
  <c r="C55" i="14"/>
  <c r="C76" i="14"/>
  <c r="B15" i="14"/>
  <c r="C42" i="14"/>
  <c r="B77" i="14"/>
  <c r="C47" i="14"/>
  <c r="C70" i="14"/>
  <c r="C37" i="14"/>
  <c r="B97" i="14"/>
  <c r="B122" i="14"/>
  <c r="B45" i="14"/>
  <c r="C49" i="14"/>
  <c r="B92" i="14"/>
  <c r="B120" i="14"/>
  <c r="C134" i="14"/>
  <c r="C18" i="14"/>
  <c r="B109" i="14"/>
  <c r="B12" i="14"/>
  <c r="C51" i="14"/>
  <c r="C111" i="14"/>
  <c r="B135" i="14"/>
  <c r="B65" i="14"/>
  <c r="C124" i="14"/>
  <c r="C132" i="14"/>
  <c r="B23" i="14"/>
  <c r="C75" i="14"/>
  <c r="B19" i="14"/>
  <c r="C60" i="14"/>
  <c r="C32" i="14"/>
  <c r="B86" i="14"/>
  <c r="C123" i="14"/>
  <c r="C31" i="14"/>
  <c r="B20" i="14"/>
  <c r="B30" i="14"/>
  <c r="C97" i="14"/>
  <c r="B33" i="14"/>
  <c r="B128" i="14"/>
  <c r="B48" i="14"/>
  <c r="B81" i="14"/>
  <c r="C27" i="14"/>
  <c r="B100" i="14"/>
  <c r="C91" i="14"/>
  <c r="B31" i="14"/>
  <c r="B62" i="14"/>
  <c r="C106" i="14"/>
  <c r="C69" i="14"/>
  <c r="C83" i="14"/>
  <c r="B115" i="14"/>
  <c r="C137" i="14"/>
  <c r="B50" i="14"/>
  <c r="C67" i="14"/>
  <c r="C44" i="14"/>
  <c r="B26" i="14"/>
  <c r="C133" i="14"/>
  <c r="B121" i="14"/>
  <c r="C104" i="14"/>
  <c r="C46" i="14"/>
  <c r="B43" i="14"/>
  <c r="C79" i="14"/>
  <c r="C50" i="14"/>
  <c r="C103" i="14"/>
  <c r="B27" i="14"/>
  <c r="C109" i="14"/>
  <c r="C28" i="14"/>
  <c r="C96" i="14"/>
  <c r="B28" i="14"/>
  <c r="B66" i="14"/>
  <c r="C125" i="14"/>
  <c r="B58" i="14"/>
  <c r="B82" i="14"/>
  <c r="C36" i="14"/>
  <c r="B39" i="14"/>
  <c r="B114" i="14"/>
  <c r="C100" i="14"/>
  <c r="B131" i="14"/>
  <c r="B64" i="14"/>
  <c r="B47" i="14"/>
  <c r="C30" i="14"/>
  <c r="B88" i="14"/>
  <c r="B24" i="14"/>
  <c r="B55" i="14"/>
  <c r="C126" i="14"/>
  <c r="C94" i="14"/>
  <c r="B49" i="14"/>
  <c r="C24" i="14"/>
  <c r="C41" i="14"/>
  <c r="B32" i="14"/>
  <c r="B13" i="14"/>
  <c r="C14" i="14"/>
  <c r="C72" i="14"/>
  <c r="C118" i="14"/>
  <c r="C90" i="14"/>
  <c r="C62" i="14"/>
  <c r="C86" i="14"/>
  <c r="C89" i="14"/>
  <c r="B67" i="14"/>
  <c r="C25" i="14"/>
  <c r="B17" i="14"/>
  <c r="B95" i="14"/>
  <c r="C29" i="14"/>
  <c r="C73" i="14"/>
  <c r="C35" i="14"/>
  <c r="C40" i="14"/>
  <c r="C54" i="14"/>
  <c r="B107" i="14"/>
  <c r="C84" i="14"/>
  <c r="B85" i="14"/>
  <c r="C136" i="14"/>
  <c r="B118" i="14"/>
  <c r="B75" i="14"/>
  <c r="C120" i="14"/>
  <c r="B69" i="14"/>
  <c r="C34" i="14"/>
  <c r="B110" i="14"/>
  <c r="B22" i="14"/>
  <c r="B103" i="14"/>
  <c r="C23" i="14"/>
  <c r="B112" i="14"/>
  <c r="B125" i="14"/>
  <c r="C43" i="14"/>
  <c r="B34" i="14"/>
  <c r="B54" i="14"/>
  <c r="B108" i="14"/>
  <c r="C114" i="14"/>
  <c r="B72" i="14"/>
  <c r="C108" i="14"/>
  <c r="B73" i="14"/>
  <c r="B46" i="14"/>
  <c r="B84" i="14"/>
  <c r="B96" i="14"/>
  <c r="C64" i="14"/>
  <c r="B36" i="14"/>
  <c r="B59" i="14"/>
  <c r="B56" i="14"/>
  <c r="B117" i="14"/>
  <c r="B98" i="14"/>
  <c r="B38" i="14"/>
  <c r="B136" i="14"/>
  <c r="C135" i="14"/>
  <c r="C127" i="14"/>
  <c r="B99" i="14"/>
  <c r="C20" i="14"/>
  <c r="C19" i="14"/>
  <c r="B61" i="14"/>
  <c r="B113" i="14"/>
  <c r="B76" i="14"/>
  <c r="B40" i="14"/>
  <c r="C115" i="14"/>
  <c r="B29" i="14"/>
  <c r="B116" i="14"/>
  <c r="B57" i="14"/>
  <c r="B104" i="14"/>
  <c r="B138" i="14"/>
  <c r="B21" i="14"/>
  <c r="C17" i="14"/>
  <c r="C95" i="14"/>
  <c r="C92" i="14"/>
  <c r="B106" i="14"/>
  <c r="B18" i="14"/>
  <c r="C78" i="14"/>
  <c r="C66" i="14"/>
  <c r="B133" i="14"/>
  <c r="C117" i="14"/>
  <c r="B37" i="14"/>
  <c r="C105" i="14"/>
  <c r="B94" i="14"/>
  <c r="C63" i="14"/>
  <c r="B127" i="14"/>
  <c r="B35" i="14"/>
  <c r="C65" i="14"/>
  <c r="C128" i="14"/>
  <c r="B74" i="14"/>
  <c r="C107" i="14"/>
  <c r="C16" i="14"/>
  <c r="C113" i="14"/>
  <c r="C33" i="14"/>
  <c r="B134" i="14"/>
  <c r="B68" i="14"/>
  <c r="C82" i="14"/>
  <c r="C68" i="14"/>
  <c r="C58" i="14"/>
  <c r="C22" i="14"/>
  <c r="C93" i="14"/>
  <c r="C48" i="14"/>
  <c r="B111" i="14"/>
  <c r="B44" i="14"/>
  <c r="B137" i="14"/>
  <c r="C61" i="14"/>
  <c r="B51" i="14"/>
  <c r="B79" i="14"/>
  <c r="C112" i="14"/>
  <c r="B105" i="14"/>
  <c r="B123" i="14"/>
  <c r="C119" i="14"/>
  <c r="B130" i="14"/>
  <c r="C53" i="14"/>
  <c r="B83" i="14"/>
  <c r="B90" i="14"/>
  <c r="C116" i="14"/>
  <c r="C71" i="14"/>
  <c r="B93" i="14"/>
  <c r="B129" i="14"/>
  <c r="C80" i="14"/>
  <c r="C129" i="14"/>
  <c r="B80" i="14"/>
  <c r="C87" i="14"/>
  <c r="B89" i="14"/>
  <c r="C39" i="14"/>
  <c r="B63" i="14"/>
  <c r="P16" i="25"/>
  <c r="Q16" i="25" l="1"/>
  <c r="R16" i="25" l="1"/>
  <c r="S16" i="25" l="1"/>
  <c r="T16" i="25" l="1"/>
  <c r="U16" i="25" l="1"/>
  <c r="V16" i="25" l="1"/>
  <c r="W16" i="25" l="1"/>
  <c r="X16" i="25" l="1"/>
  <c r="Y16" i="25" l="1"/>
  <c r="Z16" i="25" l="1"/>
  <c r="AA16" i="25" l="1"/>
  <c r="AB16" i="25" l="1"/>
  <c r="AC16" i="25" l="1"/>
  <c r="AD16" i="25" l="1"/>
  <c r="AE16" i="25" l="1"/>
  <c r="AF16" i="25" l="1"/>
  <c r="AG16" i="25" l="1"/>
  <c r="AH16" i="25" l="1"/>
  <c r="AI16" i="25" l="1"/>
  <c r="AJ16" i="25" l="1"/>
  <c r="AK16" i="25" l="1"/>
  <c r="AL16" i="25" l="1"/>
  <c r="B18" i="25"/>
  <c r="AM16" i="25" l="1"/>
  <c r="AN16" i="25" l="1"/>
  <c r="AO16" i="25" l="1"/>
  <c r="AP16" i="25" l="1"/>
  <c r="AQ16" i="25" l="1"/>
  <c r="AR16" i="25" l="1"/>
  <c r="AS16" i="25" l="1"/>
  <c r="AT16" i="25" l="1"/>
  <c r="AU16" i="25" l="1"/>
  <c r="AV16" i="25" l="1"/>
  <c r="AW16" i="25" l="1"/>
  <c r="AX16" i="25" l="1"/>
  <c r="AY16" i="25" l="1"/>
  <c r="AZ16" i="25" l="1"/>
  <c r="BA16" i="25" l="1"/>
  <c r="BB16" i="25" l="1"/>
  <c r="BC16" i="25" l="1"/>
  <c r="BD16" i="25" l="1"/>
  <c r="BE16" i="25" l="1"/>
  <c r="BF16" i="25" l="1"/>
  <c r="BG16" i="25" l="1"/>
  <c r="BH16" i="25" l="1"/>
  <c r="BI16" i="25" l="1"/>
  <c r="BJ16" i="25" l="1"/>
  <c r="BK16" i="25" l="1"/>
  <c r="BL16" i="25" l="1"/>
  <c r="BM16" i="25" l="1"/>
  <c r="BN16" i="25" l="1"/>
  <c r="BO16" i="25" l="1"/>
  <c r="BP16" i="25" l="1"/>
  <c r="BQ16" i="25" l="1"/>
  <c r="BR16" i="25" l="1"/>
  <c r="BS16" i="25" l="1"/>
  <c r="BT16" i="25" l="1"/>
  <c r="BU16" i="25" l="1"/>
  <c r="BV16" i="25" l="1"/>
  <c r="BW16" i="25" l="1"/>
  <c r="BX16" i="25" l="1"/>
  <c r="BY16" i="25" l="1"/>
  <c r="BZ16" i="25" l="1"/>
  <c r="CA16" i="25" l="1"/>
  <c r="CB16" i="25" l="1"/>
  <c r="CC16" i="25" l="1"/>
  <c r="CD16" i="25" l="1"/>
  <c r="CE16" i="25" l="1"/>
  <c r="CF16" i="25" l="1"/>
  <c r="CG16" i="25" l="1"/>
  <c r="CH16" i="25" l="1"/>
  <c r="CI16" i="25" l="1"/>
  <c r="CJ16" i="25" l="1"/>
  <c r="CK16" i="25" l="1"/>
  <c r="CL16" i="25" l="1"/>
  <c r="CM16" i="25" l="1"/>
  <c r="CN16" i="25" l="1"/>
  <c r="CO16" i="25" l="1"/>
  <c r="CP16" i="25" l="1"/>
  <c r="CQ16" i="25" l="1"/>
  <c r="CR16" i="25" l="1"/>
  <c r="CS16" i="25" l="1"/>
  <c r="CT16" i="25" l="1"/>
  <c r="CU16" i="25" l="1"/>
  <c r="CV16" i="25" l="1"/>
  <c r="CW16" i="25" l="1"/>
  <c r="CX16" i="25" l="1"/>
  <c r="CY16" i="25" l="1"/>
  <c r="CZ16" i="25" l="1"/>
  <c r="DA16" i="25" l="1"/>
  <c r="DB16" i="25" l="1"/>
  <c r="DC16" i="25" l="1"/>
  <c r="DD16" i="25" l="1"/>
  <c r="DE16" i="25" l="1"/>
  <c r="DF16" i="25" l="1"/>
  <c r="DG16" i="25" l="1"/>
  <c r="DH16" i="25" l="1"/>
  <c r="DI16" i="25" l="1"/>
  <c r="DJ16" i="25" l="1"/>
  <c r="DK16" i="25" l="1"/>
  <c r="DL16" i="25" l="1"/>
  <c r="DM16" i="25" l="1"/>
  <c r="DN16" i="25" l="1"/>
  <c r="DO16" i="25" l="1"/>
  <c r="DP16" i="25" l="1"/>
  <c r="DQ16" i="25" l="1"/>
  <c r="DR16" i="25" l="1"/>
  <c r="DS16" i="25" l="1"/>
  <c r="DT16" i="25" l="1"/>
  <c r="DU16" i="25" l="1"/>
  <c r="DV16" i="25" l="1"/>
  <c r="DW16" i="25" l="1"/>
  <c r="C20" i="25" l="1"/>
  <c r="DX16" i="25"/>
  <c r="DW17" i="25" s="1"/>
  <c r="DX17" i="25" l="1"/>
  <c r="D17" i="25"/>
  <c r="F17" i="25"/>
  <c r="E17" i="25"/>
  <c r="C17" i="25"/>
  <c r="H17" i="25"/>
  <c r="J17" i="25"/>
  <c r="I17" i="25"/>
  <c r="K17" i="25"/>
  <c r="L17" i="25"/>
  <c r="M17" i="25"/>
  <c r="O17" i="25"/>
  <c r="N17" i="25"/>
  <c r="Q17" i="25"/>
  <c r="R17" i="25"/>
  <c r="S17" i="25"/>
  <c r="P17" i="25"/>
  <c r="T17" i="25"/>
  <c r="V17" i="25"/>
  <c r="U17" i="25"/>
  <c r="X17" i="25"/>
  <c r="W17" i="25"/>
  <c r="Y17" i="25"/>
  <c r="Z17" i="25"/>
  <c r="AA17" i="25"/>
  <c r="AB17" i="25"/>
  <c r="AC17" i="25"/>
  <c r="AD17" i="25"/>
  <c r="AE17" i="25"/>
  <c r="AF17" i="25"/>
  <c r="AG17" i="25"/>
  <c r="AH17" i="25"/>
  <c r="AI17" i="25"/>
  <c r="AJ17" i="25"/>
  <c r="AL17" i="25"/>
  <c r="AK17" i="25"/>
  <c r="AN17" i="25"/>
  <c r="AM17" i="25"/>
  <c r="AO17" i="25"/>
  <c r="AP17" i="25"/>
  <c r="AQ17" i="25"/>
  <c r="AS17" i="25"/>
  <c r="AR17" i="25"/>
  <c r="AT17" i="25"/>
  <c r="AU17" i="25"/>
  <c r="AW17" i="25"/>
  <c r="AX17" i="25"/>
  <c r="AV17" i="25"/>
  <c r="AY17" i="25"/>
  <c r="AZ17" i="25"/>
  <c r="BA17" i="25"/>
  <c r="BB17" i="25"/>
  <c r="BC17" i="25"/>
  <c r="BE17" i="25"/>
  <c r="BD17" i="25"/>
  <c r="BF17" i="25"/>
  <c r="BG17" i="25"/>
  <c r="BH17" i="25"/>
  <c r="BI17" i="25"/>
  <c r="BL17" i="25"/>
  <c r="BJ17" i="25"/>
  <c r="BK17" i="25"/>
  <c r="BM17" i="25"/>
  <c r="BN17" i="25"/>
  <c r="BP17" i="25"/>
  <c r="BQ17" i="25"/>
  <c r="BR17" i="25"/>
  <c r="BO17" i="25"/>
  <c r="BS17" i="25"/>
  <c r="BT17" i="25"/>
  <c r="BU17" i="25"/>
  <c r="BW17" i="25"/>
  <c r="BV17" i="25"/>
  <c r="BY17" i="25"/>
  <c r="BX17" i="25"/>
  <c r="CA17" i="25"/>
  <c r="BZ17" i="25"/>
  <c r="CC17" i="25"/>
  <c r="CB17" i="25"/>
  <c r="CD17" i="25"/>
  <c r="CF17" i="25"/>
  <c r="CE17" i="25"/>
  <c r="CG17" i="25"/>
  <c r="CH17" i="25"/>
  <c r="CI17" i="25"/>
  <c r="CJ17" i="25"/>
  <c r="CK17" i="25"/>
  <c r="CL17" i="25"/>
  <c r="CM17" i="25"/>
  <c r="CN17" i="25"/>
  <c r="CO17" i="25"/>
  <c r="CP17" i="25"/>
  <c r="CQ17" i="25"/>
  <c r="CR17" i="25"/>
  <c r="CS17" i="25"/>
  <c r="CT17" i="25"/>
  <c r="CU17" i="25"/>
  <c r="CW17" i="25"/>
  <c r="CV17" i="25"/>
  <c r="CX17" i="25"/>
  <c r="CZ17" i="25"/>
  <c r="CY17" i="25"/>
  <c r="DB17" i="25"/>
  <c r="DA17" i="25"/>
  <c r="DC17" i="25"/>
  <c r="DD17" i="25"/>
  <c r="DE17" i="25"/>
  <c r="DF17" i="25"/>
  <c r="DG17" i="25"/>
  <c r="DI17" i="25"/>
  <c r="DJ17" i="25"/>
  <c r="DH17" i="25"/>
  <c r="DK17" i="25"/>
  <c r="DM17" i="25"/>
  <c r="DL17" i="25"/>
  <c r="DN17" i="25"/>
  <c r="DO17" i="25"/>
  <c r="DP17" i="25"/>
  <c r="DQ17" i="25"/>
  <c r="DR17" i="25"/>
  <c r="DT17" i="25"/>
  <c r="DS17" i="25"/>
  <c r="DV17" i="25"/>
  <c r="DU1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Agudelo, Diego</author>
  </authors>
  <commentList>
    <comment ref="AC18" authorId="0" shapeId="0" xr:uid="{74AEFB30-872E-449B-BD79-F2CCEC4F0073}">
      <text>
        <r>
          <rPr>
            <b/>
            <sz val="9"/>
            <color indexed="81"/>
            <rFont val="Tahoma"/>
            <family val="2"/>
          </rPr>
          <t>Agudelo, Diego:</t>
        </r>
        <r>
          <rPr>
            <sz val="9"/>
            <color indexed="81"/>
            <rFont val="Tahoma"/>
            <family val="2"/>
          </rPr>
          <t xml:space="preserve">
Milestone1</t>
        </r>
      </text>
    </comment>
    <comment ref="BA18" authorId="0" shapeId="0" xr:uid="{B28BE9CB-F1A7-403D-A75A-7C3A85D9AA6C}">
      <text>
        <r>
          <rPr>
            <b/>
            <sz val="9"/>
            <color indexed="81"/>
            <rFont val="Tahoma"/>
            <family val="2"/>
          </rPr>
          <t>Agudelo, Diego:</t>
        </r>
        <r>
          <rPr>
            <sz val="9"/>
            <color indexed="81"/>
            <rFont val="Tahoma"/>
            <family val="2"/>
          </rPr>
          <t xml:space="preserve">
Milestone2
</t>
        </r>
      </text>
    </comment>
    <comment ref="CM18" authorId="0" shapeId="0" xr:uid="{79D07378-038A-49AC-B745-50105E2ABE88}">
      <text>
        <r>
          <rPr>
            <b/>
            <sz val="9"/>
            <color indexed="81"/>
            <rFont val="Tahoma"/>
            <family val="2"/>
          </rPr>
          <t>Agudelo, Diego:</t>
        </r>
        <r>
          <rPr>
            <sz val="9"/>
            <color indexed="81"/>
            <rFont val="Tahoma"/>
            <family val="2"/>
          </rPr>
          <t xml:space="preserve">
Milestone3
</t>
        </r>
      </text>
    </comment>
    <comment ref="DI18" authorId="0" shapeId="0" xr:uid="{0503D150-F16D-4DD5-8D83-E7B923FB7340}">
      <text>
        <r>
          <rPr>
            <b/>
            <sz val="9"/>
            <color indexed="81"/>
            <rFont val="Tahoma"/>
            <family val="2"/>
          </rPr>
          <t>Agudelo, Diego:</t>
        </r>
        <r>
          <rPr>
            <sz val="9"/>
            <color indexed="81"/>
            <rFont val="Tahoma"/>
            <family val="2"/>
          </rPr>
          <t xml:space="preserve">
Milestone4
</t>
        </r>
      </text>
    </comment>
    <comment ref="EB18" authorId="0" shapeId="0" xr:uid="{1FB286CD-21B5-4204-997D-A8158FA1373F}">
      <text>
        <r>
          <rPr>
            <b/>
            <sz val="9"/>
            <color indexed="81"/>
            <rFont val="Tahoma"/>
            <family val="2"/>
          </rPr>
          <t>Agudelo, Diego:</t>
        </r>
        <r>
          <rPr>
            <sz val="9"/>
            <color indexed="81"/>
            <rFont val="Tahoma"/>
            <family val="2"/>
          </rPr>
          <t xml:space="preserve">
Milestone5
</t>
        </r>
      </text>
    </comment>
    <comment ref="W19" authorId="0" shapeId="0" xr:uid="{DAB220D2-6E82-4424-BEA1-9D2355B5F61A}">
      <text>
        <r>
          <rPr>
            <b/>
            <sz val="9"/>
            <color indexed="81"/>
            <rFont val="Tahoma"/>
            <family val="2"/>
          </rPr>
          <t>Agudelo, Diego:</t>
        </r>
        <r>
          <rPr>
            <sz val="9"/>
            <color indexed="81"/>
            <rFont val="Tahoma"/>
            <family val="2"/>
          </rPr>
          <t xml:space="preserve">
Agosto</t>
        </r>
      </text>
    </comment>
    <comment ref="AL19" authorId="0" shapeId="0" xr:uid="{45B5236C-0F43-4A68-9C19-54506F0BD13B}">
      <text>
        <r>
          <rPr>
            <b/>
            <sz val="9"/>
            <color indexed="81"/>
            <rFont val="Tahoma"/>
            <family val="2"/>
          </rPr>
          <t>Agudelo, Diego:</t>
        </r>
        <r>
          <rPr>
            <sz val="9"/>
            <color indexed="81"/>
            <rFont val="Tahoma"/>
            <family val="2"/>
          </rPr>
          <t xml:space="preserve">
Septiembre
</t>
        </r>
      </text>
    </comment>
    <comment ref="BP19" authorId="0" shapeId="0" xr:uid="{E4FA3D07-4140-4E9F-925F-747D9BE1B296}">
      <text>
        <r>
          <rPr>
            <b/>
            <sz val="9"/>
            <color indexed="81"/>
            <rFont val="Tahoma"/>
            <family val="2"/>
          </rPr>
          <t>Agudelo, Diego:</t>
        </r>
        <r>
          <rPr>
            <sz val="9"/>
            <color indexed="81"/>
            <rFont val="Tahoma"/>
            <family val="2"/>
          </rPr>
          <t xml:space="preserve">
Octubre</t>
        </r>
      </text>
    </comment>
    <comment ref="CE19" authorId="0" shapeId="0" xr:uid="{EC2FF1CA-A425-4AF5-A4B5-E30E12AFB267}">
      <text>
        <r>
          <rPr>
            <b/>
            <sz val="9"/>
            <color indexed="81"/>
            <rFont val="Tahoma"/>
            <family val="2"/>
          </rPr>
          <t>Agudelo, Diego:</t>
        </r>
        <r>
          <rPr>
            <sz val="9"/>
            <color indexed="81"/>
            <rFont val="Tahoma"/>
            <family val="2"/>
          </rPr>
          <t xml:space="preserve">
Noviembre
</t>
        </r>
      </text>
    </comment>
    <comment ref="DF19" authorId="0" shapeId="0" xr:uid="{69833876-5260-4418-8A45-F87095407EF0}">
      <text>
        <r>
          <rPr>
            <b/>
            <sz val="9"/>
            <color indexed="81"/>
            <rFont val="Tahoma"/>
            <family val="2"/>
          </rPr>
          <t>Agudelo, Diego:</t>
        </r>
        <r>
          <rPr>
            <sz val="9"/>
            <color indexed="81"/>
            <rFont val="Tahoma"/>
            <family val="2"/>
          </rPr>
          <t xml:space="preserve">
Diciembre</t>
        </r>
      </text>
    </comment>
    <comment ref="DX19" authorId="0" shapeId="0" xr:uid="{E42394F0-2647-4FFC-9951-745DE8C1BB69}">
      <text>
        <r>
          <rPr>
            <b/>
            <sz val="9"/>
            <color indexed="81"/>
            <rFont val="Tahoma"/>
            <family val="2"/>
          </rPr>
          <t>Agudelo, Diego:</t>
        </r>
        <r>
          <rPr>
            <sz val="9"/>
            <color indexed="81"/>
            <rFont val="Tahoma"/>
            <family val="2"/>
          </rPr>
          <t xml:space="preserve">
Enero
</t>
        </r>
      </text>
    </comment>
    <comment ref="B25" authorId="0" shapeId="0" xr:uid="{1ECAC439-7DD5-478B-9818-78C201624A54}">
      <text>
        <r>
          <rPr>
            <b/>
            <sz val="9"/>
            <color indexed="81"/>
            <rFont val="Tahoma"/>
            <family val="2"/>
          </rPr>
          <t>Agudelo, Diego:</t>
        </r>
        <r>
          <rPr>
            <sz val="9"/>
            <color indexed="81"/>
            <rFont val="Tahoma"/>
            <family val="2"/>
          </rPr>
          <t xml:space="preserve">
Montly Cost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Agudelo, Diego</author>
  </authors>
  <commentList>
    <comment ref="F1" authorId="0" shapeId="0" xr:uid="{7B1F155C-875A-4C08-806E-F890A01396CC}">
      <text>
        <r>
          <rPr>
            <b/>
            <sz val="9"/>
            <color indexed="81"/>
            <rFont val="Tahoma"/>
            <family val="2"/>
          </rPr>
          <t>Agudelo, Diego:</t>
        </r>
        <r>
          <rPr>
            <sz val="9"/>
            <color indexed="81"/>
            <rFont val="Tahoma"/>
            <family val="2"/>
          </rPr>
          <t xml:space="preserve">
Business value associated with the delivery of user story. Set highest priority to story/stories that deliver highest Business value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Priority" description="Connection to the 'Priority' query in the workbook." type="5" refreshedVersion="6" background="1" saveData="1">
    <dbPr connection="Provider=Microsoft.Mashup.OleDb.1;Data Source=$Workbook$;Location=Priority;Extended Properties=&quot;&quot;" command="SELECT * FROM [Priority]"/>
  </connection>
</connections>
</file>

<file path=xl/sharedStrings.xml><?xml version="1.0" encoding="utf-8"?>
<sst xmlns="http://schemas.openxmlformats.org/spreadsheetml/2006/main" count="1019" uniqueCount="453">
  <si>
    <t xml:space="preserve">Status represents the current status of the Product Backlog Item.  The values are:
Backlog - The Item is waiting to be worked on.
Active - The Item is being worked on in the current Sprint.
Complete - The Item has been developed in a previous Sprint.
Removed - The Item is no longer desired by the Product Owner and has been removed from the Product Backlog. </t>
  </si>
  <si>
    <t>A Product Backlog Item is a unit of work small enough to be completed by a team in one Sprint. 
Product Backlog Items can include functional and non-functional customer requirements as well as technical team generated requirements.</t>
  </si>
  <si>
    <t>Priority</t>
  </si>
  <si>
    <t>Item ID</t>
  </si>
  <si>
    <t>Definitions</t>
  </si>
  <si>
    <t>Priority is a tool to assist the Product Owner in ranking the Backlog Items.  Priorities are expressed in terms of "Must Have", "Should Have", and "Nice to Have".  Higher priority Items should be ranked higher in the Product Backlog and developed first.</t>
  </si>
  <si>
    <t>Sprint</t>
  </si>
  <si>
    <t>Create Date</t>
  </si>
  <si>
    <t>Item Description</t>
  </si>
  <si>
    <t>The Item ID is a unique identifier for each Product Backlog Item.  As an Item is added it should receive the next sequential ID.</t>
  </si>
  <si>
    <t xml:space="preserve">The number of the Sprint that the Backlog Item has been placed in.  When a Backlog Item has been selected for a Sprint, the number of that Sprint should be entered.  This field can also be used for planning future Sprints.  However, this would only represent a rough estimate of which Sprint the Backlog Item would be developed in.  The Backlog Items should be re-prioritized before each Sprint and this could change the plan.  In addition, the Backlog Items cannot be confirmed to be in a Sprint until the Sprint Planning meeting for that Sprint is complete. </t>
  </si>
  <si>
    <t>The date the Backlog Item was created.</t>
  </si>
  <si>
    <t>Notes</t>
  </si>
  <si>
    <t>Theme</t>
  </si>
  <si>
    <t>Successor ID</t>
  </si>
  <si>
    <t>Predecessor ID</t>
  </si>
  <si>
    <t>Release</t>
  </si>
  <si>
    <t>NonFunctional Requirements</t>
  </si>
  <si>
    <t>#</t>
  </si>
  <si>
    <t>Requirement</t>
  </si>
  <si>
    <t>Description</t>
  </si>
  <si>
    <t>Motivation</t>
  </si>
  <si>
    <t>Acceptance Criteria</t>
  </si>
  <si>
    <t>Example</t>
  </si>
  <si>
    <t>Capture non functional requirements on the "Non Functional Reqs" tab</t>
  </si>
  <si>
    <t>Non Functional Reqs</t>
  </si>
  <si>
    <t>Optional.  The ID of the story(ies) that must be completed prior to this user story.</t>
  </si>
  <si>
    <t>Optional.  The ID of story(ies) that are dependent upon the completion of this story.</t>
  </si>
  <si>
    <t>The Sprint Theme defines a discrete set of user or client-valued functionality that is the focus of the Sprint. This information may be completed during Backlog Selection or it may be defined before planning begins.</t>
  </si>
  <si>
    <t>Revision History</t>
  </si>
  <si>
    <t>Date</t>
  </si>
  <si>
    <t>Version</t>
  </si>
  <si>
    <t>Author</t>
  </si>
  <si>
    <t>Estimates</t>
  </si>
  <si>
    <t>Release/ Sprint Mapping</t>
  </si>
  <si>
    <t>INSERT BELOW THIS ROW</t>
  </si>
  <si>
    <t>R1</t>
  </si>
  <si>
    <t>R2</t>
  </si>
  <si>
    <t>R3</t>
  </si>
  <si>
    <t>INSERT ABOVE THIS ROW</t>
  </si>
  <si>
    <t>Status</t>
  </si>
  <si>
    <t>Remaining</t>
  </si>
  <si>
    <t>Actuals</t>
  </si>
  <si>
    <t>Backlog</t>
  </si>
  <si>
    <t>This tab is where all epics and user stories are captured.  Descriptions of each column are included as comments on each column's label.</t>
  </si>
  <si>
    <t>Release Planning</t>
  </si>
  <si>
    <t>Descriptions of the various tabs worksheets in this workbook.</t>
  </si>
  <si>
    <t>Product Backlog</t>
  </si>
  <si>
    <t>Sprint Description</t>
  </si>
  <si>
    <t>Sprint Committed</t>
  </si>
  <si>
    <t>Release Name</t>
  </si>
  <si>
    <t>Total Capacity</t>
  </si>
  <si>
    <t>ID</t>
  </si>
  <si>
    <t>Burn Down Charts</t>
  </si>
  <si>
    <t>Instructions</t>
  </si>
  <si>
    <t>Release Burn Down Chart</t>
  </si>
  <si>
    <t>This tab is where you can capture non-functional requirements.  Non-functional requirements are requirements which specify criteria that can be used to judge the operation of a system, rather than specific behaviors. Non-functional requirements are often called qualities of a system.</t>
  </si>
  <si>
    <t xml:space="preserve">This tab gives Instructions on usage of this workbook. 
Explains the steps involved in various scenarios. </t>
  </si>
  <si>
    <t>This tab explains the terminologies used in the worksheet.</t>
  </si>
  <si>
    <t>In this tab, Estimates, Actuals, Remaining hours and status of each Epic/ User Story is captured.</t>
  </si>
  <si>
    <t>Product Backlog Details</t>
  </si>
  <si>
    <t>Sprint Burn Down Chart 
According to Release</t>
  </si>
  <si>
    <t>Sprint Name</t>
  </si>
  <si>
    <t>How to perform Release Planning</t>
  </si>
  <si>
    <t>How to update the Product Backlog at the end of a Release and a Sprint</t>
  </si>
  <si>
    <t>R4</t>
  </si>
  <si>
    <t>R5</t>
  </si>
  <si>
    <t>R6</t>
  </si>
  <si>
    <t>R7</t>
  </si>
  <si>
    <t>R8</t>
  </si>
  <si>
    <t>R9</t>
  </si>
  <si>
    <t>R10</t>
  </si>
  <si>
    <t>R11</t>
  </si>
  <si>
    <t>R12</t>
  </si>
  <si>
    <t>Release 
Name</t>
  </si>
  <si>
    <t xml:space="preserve">
This tab graphically shows the burn down charts. The burn down charts are shown according to Releases and according to Sprints.
</t>
  </si>
  <si>
    <t xml:space="preserve">This tab is where you can name Releases and Sprints. Sprint to Release mapping is done here. </t>
  </si>
  <si>
    <t>How to Migrate an existing Product Backlog to this Product Backlog Or Build Product Backlog at the beginning of a project</t>
  </si>
  <si>
    <t>At the beginning of each Release, the stories to be implemented are identified. For those stories, the corresponding release name is entered in the Release column of Product Backlog Details tab.
At the beginning of each Sprint, the stories to be implemented are identified. For those stories, the corresponding sprint name is entered in the Sprint column of Product Backlog Details tab.</t>
  </si>
  <si>
    <t>On the Release Planning Worksheet - 
Enter all Release names in the Release Column. Either use the pre-defined release names or modify the list.
Enter all Sprint names in the Sprint Column. Either use the pre-defined sprint names or modify the list. 
In the Release/Sprint Mapping column, select the name of the release associated with Sprint on the same row in the Sprint column.
Enter the Sprint Description and Sprint Committed value.</t>
  </si>
  <si>
    <t xml:space="preserve">Release Level Sprint Burn Up Chart </t>
  </si>
  <si>
    <t>Completed</t>
  </si>
  <si>
    <t>At the end of each Release, enter the backlog at that time in Burn Down Charts tab under "Release Burn Down Chart" section.
Also, at the end of each Release, enter the units corresponding to the user stories which are marked as complete by the customer in the Burn Up Chart worksheet.
At the end of each Sprint, enter the backlog at that time in Burn Down Charts tab under "Sprint Burn Down Chart" section.</t>
  </si>
  <si>
    <t xml:space="preserve">This tab graphically shows the burn up charts. The burn up charts is shown for each Releases according to Sprints.
</t>
  </si>
  <si>
    <t>Burn Up Chart</t>
  </si>
  <si>
    <t>Module / Application / Function</t>
  </si>
  <si>
    <t>This column is mandatory for Package development and optional for Custom development. User can mention the Module / Application / Function the User story belongs to. E.g. If User story is related to Finance domain, the value in this column can be "Financial Service".</t>
  </si>
  <si>
    <t>Product owner’s criteria for satisfactory acceptance of the User story</t>
  </si>
  <si>
    <t>1.
2.
3.</t>
  </si>
  <si>
    <t>Business Value</t>
  </si>
  <si>
    <t>Business value associated with the delivery of user story. Set highest priority to story/stories that deliver highest Business value</t>
  </si>
  <si>
    <t>At the end of each Release, enter the backlog at that time in Burn Down Charts tab under "Release Burn Down Chart" section.
At the end of each Sprint, enter the backlog at that time in Burn Down Charts tab under "Sprint Burn Down Chart" section.
At the end of each Release/ Sprint, for all Backlog Items that were completed during that Release/ Sprint change the Status to the value of "Complete". For any items that were not completed in the Release/ Sprint, set the Status back to "Backlog" and remove the Release/Sprint number corresponding to that backlog item. These items must be re-prioritized and placed in a new Release/ Sprint.  For Backlog Items that were started, but not completed, it will also be useful to make notes on the status of that Backlog Item in the Notes field.
If a Backlog item needs to be removed, change the value of the Status field to "Removed". You may add comments in the Notes field to describe why the Backlog Item was removed for future reference.</t>
  </si>
  <si>
    <t xml:space="preserve">                                                                                                                                                                                                                                       </t>
  </si>
  <si>
    <t>Version 1.0</t>
  </si>
  <si>
    <t xml:space="preserve">Note: This section should be removed if a document management tool is used which will track the version history. </t>
  </si>
  <si>
    <r>
      <t xml:space="preserve">Cover Sheet Worksheet - </t>
    </r>
    <r>
      <rPr>
        <sz val="10"/>
        <color theme="1"/>
        <rFont val="Calibri"/>
        <family val="2"/>
        <scheme val="minor"/>
      </rPr>
      <t>Add Project Name</t>
    </r>
  </si>
  <si>
    <r>
      <t xml:space="preserve">Release Planning Worksheet - </t>
    </r>
    <r>
      <rPr>
        <sz val="10"/>
        <color theme="1"/>
        <rFont val="Calibri"/>
        <family val="2"/>
        <scheme val="minor"/>
      </rPr>
      <t xml:space="preserve">
Either use the pre-defined release names or modify the list in the Release column.
Either use the pre-defined sprint names or modify the list in the Sprint column. 
Enter the name of the release associated with each Sprint in the Release/Sprint Mapping column.</t>
    </r>
  </si>
  <si>
    <r>
      <t xml:space="preserve">Product BackLog Worksheet - </t>
    </r>
    <r>
      <rPr>
        <sz val="10"/>
        <color theme="1"/>
        <rFont val="Calibri"/>
        <family val="2"/>
        <scheme val="minor"/>
      </rPr>
      <t xml:space="preserve">
Enter Backlog Details including Acceptance Criteria.  
New Items can be added at any time to the Product Backlog by anyone. The Product Backlog will grow and change as more is learned about the product and its customers. 
The Product Owner prioritizes the Product Backlog by choosing "Must Have", "Should Have", "Nice to Have" from the Priority column.</t>
    </r>
  </si>
  <si>
    <r>
      <t xml:space="preserve">Product Backlog Details Worksheet - </t>
    </r>
    <r>
      <rPr>
        <sz val="10"/>
        <color theme="1"/>
        <rFont val="Calibri"/>
        <family val="2"/>
        <scheme val="minor"/>
      </rPr>
      <t xml:space="preserve">
For Each Backlog Item, select corresponding Release Name and Sprint Name. 
If creating an initial Product Backlog, status of all backlog items will be "Backlog". Enter Estimated hours for each backlog.
If migrating from existing product backlog or if maintaining the backlog -
If that Backlog Item has been completed, Select Status as Complete and enter the Actual hours in the Actuals column.
If the Backlog Item is in progress, Select Status as Active. Enter Actual hours till now in the Actuals column and Remaining Hours in the Remaining Column.
When a Backlog Item is added, the Status should be set to "Backlog" and the current date should be entered as the Create Date.</t>
    </r>
  </si>
  <si>
    <r>
      <t xml:space="preserve">Non Functional Reqs - </t>
    </r>
    <r>
      <rPr>
        <sz val="10"/>
        <color theme="1"/>
        <rFont val="Calibri"/>
        <family val="2"/>
        <scheme val="minor"/>
      </rPr>
      <t xml:space="preserve">
Capture non functional requirements on the "Non Functional Reqs" tab</t>
    </r>
  </si>
  <si>
    <r>
      <t>ß</t>
    </r>
    <r>
      <rPr>
        <sz val="10"/>
        <color theme="0"/>
        <rFont val="Cambria"/>
        <family val="1"/>
        <scheme val="major"/>
      </rPr>
      <t>Initial Backlog Size</t>
    </r>
  </si>
  <si>
    <t>Actividades</t>
  </si>
  <si>
    <t>Duración</t>
  </si>
  <si>
    <t xml:space="preserve">Reuniones necesarias </t>
  </si>
  <si>
    <t>Personas Requeridas del Negocio</t>
  </si>
  <si>
    <t>Información requerida</t>
  </si>
  <si>
    <t>FECHA PLANIFICADA</t>
  </si>
  <si>
    <t>FECHA REAL</t>
  </si>
  <si>
    <t>PUNTAJE</t>
  </si>
  <si>
    <t xml:space="preserve">RESULTADO / ENTREGABLE / ACTA </t>
  </si>
  <si>
    <t>Sprint0.0</t>
  </si>
  <si>
    <t>Contexto de acuerdos y objetivos</t>
  </si>
  <si>
    <t>Sprint0</t>
  </si>
  <si>
    <r>
      <t>•</t>
    </r>
    <r>
      <rPr>
        <sz val="12"/>
        <color rgb="FF000000"/>
        <rFont val="Arial Narrow"/>
        <family val="2"/>
      </rPr>
      <t>Definir y aceptar los objetivos del periodo de creación</t>
    </r>
  </si>
  <si>
    <t>2 horas</t>
  </si>
  <si>
    <t>Diego</t>
  </si>
  <si>
    <t>Kickoff</t>
  </si>
  <si>
    <t xml:space="preserve">Usuarios Clave del Área. Eder Cardenas (Enel Colombia), Adriana Salinas (Enel Colombia)
Gerencia ICT. 
Equipo del Proyecto Accenture.
</t>
  </si>
  <si>
    <r>
      <t>•</t>
    </r>
    <r>
      <rPr>
        <sz val="12"/>
        <color rgb="FF000000"/>
        <rFont val="Arial Narrow"/>
        <family val="2"/>
      </rPr>
      <t>Concordancia con las políticas de gobernanza de Enel para identificar una entrega final real</t>
    </r>
  </si>
  <si>
    <r>
      <t>•</t>
    </r>
    <r>
      <rPr>
        <sz val="12"/>
        <color rgb="FF000000"/>
        <rFont val="Arial Narrow"/>
        <family val="2"/>
      </rPr>
      <t>Identificar de fuentes de inspiración</t>
    </r>
  </si>
  <si>
    <r>
      <t>•</t>
    </r>
    <r>
      <rPr>
        <sz val="12"/>
        <color rgb="FF000000"/>
        <rFont val="Arial Narrow"/>
        <family val="2"/>
      </rPr>
      <t>Identificar las necesidades y expectativas de los Usuarios Clave</t>
    </r>
  </si>
  <si>
    <r>
      <t>•</t>
    </r>
    <r>
      <rPr>
        <sz val="12"/>
        <color rgb="FF000000"/>
        <rFont val="Arial Narrow"/>
        <family val="2"/>
      </rPr>
      <t>Alinear los objetivos de los distintos grupos que participaran en la creación</t>
    </r>
  </si>
  <si>
    <t>Sprint0.1</t>
  </si>
  <si>
    <t>Intercalar Datos Existentes</t>
  </si>
  <si>
    <t>Leonardo</t>
  </si>
  <si>
    <t>Sprint0.1.1</t>
  </si>
  <si>
    <t>•solicitar información requerida para generar un producto mínimo viable (PMV),Solicitar y definir activos de información geográfica y alfanumérica de ENEL (Tablas Excel o Base de Datos Access), localización, responsable, fecha de entrega, entregable relacionado</t>
  </si>
  <si>
    <t>1 día</t>
  </si>
  <si>
    <t>1 Reunión con los miembros del equipo y el cliente. Resultado de esta reunión se debe contar con la totalidad de la información geográfica y alfanumérica.</t>
  </si>
  <si>
    <t>1 persona encargada del Sistema de Información Geográfica.</t>
  </si>
  <si>
    <t>Información geográfica base de ENEL</t>
  </si>
  <si>
    <t>hay que crear un documento especifico para controlar la información que se recibe, debe tener el formato fecha breve descripción del contenido persona que lo entrega, y para que se va a utilizar,</t>
  </si>
  <si>
    <t>Sprint0.1.2</t>
  </si>
  <si>
    <r>
      <t>•</t>
    </r>
    <r>
      <rPr>
        <sz val="12"/>
        <color rgb="FF000000"/>
        <rFont val="Arial Narrow"/>
        <family val="2"/>
      </rPr>
      <t>Definir los KPIs claves para medir el éxito del producto mínimo viable</t>
    </r>
  </si>
  <si>
    <t>23/07/2018</t>
  </si>
  <si>
    <t>ejemplos de KPIs y Como se van a medir, MVP, hablar don diego B</t>
  </si>
  <si>
    <t>Sprint0.2</t>
  </si>
  <si>
    <t>Mapeo del proceso actual</t>
  </si>
  <si>
    <t>Sprint0.2.1</t>
  </si>
  <si>
    <r>
      <t>•</t>
    </r>
    <r>
      <rPr>
        <sz val="12"/>
        <color rgb="FF000000"/>
        <rFont val="Arial Narrow"/>
        <family val="2"/>
      </rPr>
      <t>Entender los diferentes tipos de trabajo y tareas asociados con los casos de uso seleccionados para el mínimo producto viable</t>
    </r>
  </si>
  <si>
    <t>Analista, Diego</t>
  </si>
  <si>
    <t>Sprint0.2.2</t>
  </si>
  <si>
    <r>
      <t>•</t>
    </r>
    <r>
      <rPr>
        <sz val="12"/>
        <color rgb="FF000000"/>
        <rFont val="Arial Narrow"/>
        <family val="2"/>
      </rPr>
      <t xml:space="preserve">Correlacionar el proceso actual para incluirlo en el mínimo producto viable y crear el caso de negocio </t>
    </r>
  </si>
  <si>
    <t>Sprint0.3</t>
  </si>
  <si>
    <t>Diseño de procedimientos y experimentos</t>
  </si>
  <si>
    <t>Sprint0.3.1</t>
  </si>
  <si>
    <r>
      <t>•</t>
    </r>
    <r>
      <rPr>
        <sz val="12"/>
        <color rgb="FF000000"/>
        <rFont val="Arial Narrow"/>
        <family val="2"/>
      </rPr>
      <t>Revisiones de diseño iterativo del contenido procedimental</t>
    </r>
  </si>
  <si>
    <t>Analista, Diego,leonardo, steven</t>
  </si>
  <si>
    <t>Sprint0.3.2</t>
  </si>
  <si>
    <r>
      <t>•</t>
    </r>
    <r>
      <rPr>
        <sz val="12"/>
        <color rgb="FF000000"/>
        <rFont val="Arial Narrow"/>
        <family val="2"/>
      </rPr>
      <t>Diseño de experimentos para evaluar el valor del mínimo producto viable en comparación con la forma de trabajo actual (KPI)</t>
    </r>
  </si>
  <si>
    <t>Sprint0.4</t>
  </si>
  <si>
    <t xml:space="preserve">Actividades específicas de desarrollo de entregables </t>
  </si>
  <si>
    <t>Sprint0.4.1</t>
  </si>
  <si>
    <t xml:space="preserve">Capacitación AGILE de manera presencial </t>
  </si>
  <si>
    <t>4 horas</t>
  </si>
  <si>
    <t>3 sesiones ( 1.5 días)</t>
  </si>
  <si>
    <t>1 persona requerida para dictar la capacitación.</t>
  </si>
  <si>
    <t>Yasef</t>
  </si>
  <si>
    <t>0,5</t>
  </si>
  <si>
    <t>Sprint0.4.2</t>
  </si>
  <si>
    <t>Generar Backlog de Historias de usuario</t>
  </si>
  <si>
    <t>1 Reunión - Workshop</t>
  </si>
  <si>
    <t xml:space="preserve">•Concordancia con las políticas de gobernanza de Enel para identificar una entrega final real.
•Identificar de fuentes de inspiración.
•Alinear los objetivos de los distintos grupos que participaran en la creación.
•Entender los diferentes tipos de trabajo y tareas asociados con los casos de uso seleccionados para el mínimo producto viable.
 •Diseño de experimentos para evaluar el valor del mínimo producto viable en comparación con la forma de trabajo actual (KPI)
</t>
  </si>
  <si>
    <t>Sprint0.4.3</t>
  </si>
  <si>
    <t>Establecer las ventajas y desventajas del Sistema de Información Geográfica - GIS con Licenciamiento frente a herramientas GIS OPENSOURCE.</t>
  </si>
  <si>
    <t>2 días</t>
  </si>
  <si>
    <t>Sprint0.4.4</t>
  </si>
  <si>
    <t>Presentar evaluación de  herramientas y solicitar definicón de soluión para el Sistema de Información Geográfica - GIS.</t>
  </si>
  <si>
    <t>0,5 días</t>
  </si>
  <si>
    <t>1 Reunión con los miembros del equipo y el cliente. Resultado de esta reunión se debe determinar la herramienta para el Sistema de Información Geográfica</t>
  </si>
  <si>
    <t>Documento sobre ventajas y desventajas del Sistema de Información Geográfica - GIS con Licenciamiento frente a herramientas GIS OPENSOURCE.</t>
  </si>
  <si>
    <t>Sprint0.4.5</t>
  </si>
  <si>
    <t>aprovisionar accesos a JIRA/ entrenamiento</t>
  </si>
  <si>
    <t>Diego,Leonardo,  Enel</t>
  </si>
  <si>
    <t>solicitar Acceso, realizar seguimiento,</t>
  </si>
  <si>
    <t>Encargado de aprovisionamiento JIRA</t>
  </si>
  <si>
    <t>nombres:
Formatos:
Requerimientos de seguridad:</t>
  </si>
  <si>
    <t>ARQUITECTURA DE SOLUCIÓN</t>
  </si>
  <si>
    <t>Sprint 1</t>
  </si>
  <si>
    <t>Definir modelo de licenciamiento a usar para el producto ArcGIS según las necesidades del aréa organizacional actuales y futuras</t>
  </si>
  <si>
    <t>El resultado de esta reunión será identificar el escalamiento de la solución para definir el modelo de licenciamiento más conveniente</t>
  </si>
  <si>
    <t>Business partner, Product Owner</t>
  </si>
  <si>
    <t>Número de usuarios finales de la solución, y crecimiento a futuro</t>
  </si>
  <si>
    <t>Modelo de licenciamiento de ArcGis: desktop o enterprise</t>
  </si>
  <si>
    <t>Definir la tecnología e infraestrúctura requerida para la base de datos de ArcGis</t>
  </si>
  <si>
    <t>El resultado de está reunión será definir si la solución será onpremise o cloud y solicitar el aprovisionamiento, por parte de ENEL, de la infraestructura requerida para la solución</t>
  </si>
  <si>
    <t>Servidor con todos los permisos necesarios para instalación del motor de base de datos y su conexión con ArcGis</t>
  </si>
  <si>
    <t>BluePrint de arquitectura de tecnología e infraestructura, Servidor (onpremise o cloud) sobre el que se montará la base de datos</t>
  </si>
  <si>
    <t>Definir mapa de servicios de la solución</t>
  </si>
  <si>
    <t>BluePrint de Servicios</t>
  </si>
  <si>
    <t>Definir modelo de gobierno de la información</t>
  </si>
  <si>
    <t>El resultado de esta reunión será definir roles y responsabilidades de los usuarios del sistema</t>
  </si>
  <si>
    <t>Perfiles de usuarios del sistema y responsabilidades para con la información</t>
  </si>
  <si>
    <t>Matriz RACI (Entidades vs responsables vs operaciones CRUD)</t>
  </si>
  <si>
    <t>Definir modelo de integración de la solución con sistema de información de hidrología</t>
  </si>
  <si>
    <t>El resultado de esta reunión será definir la estrategía de integración entre los dos sistemas: consumo de APIs, o integración a nivel de capa de datos, protocolos, mediación, transformación de mensajes, etc</t>
  </si>
  <si>
    <t>Lider técnico / arquitecto de la solucion de hidrología</t>
  </si>
  <si>
    <t>BluePrint de integración entre los dos sistemas</t>
  </si>
  <si>
    <t>Definir conjunto de pruebas unitarias, funcionales y de integración</t>
  </si>
  <si>
    <t>Documento con casos de pruebas</t>
  </si>
  <si>
    <t>Entregar y validar arquitectura</t>
  </si>
  <si>
    <t>El resultado de esta reunión será presentar los blueprints de arquitectura</t>
  </si>
  <si>
    <t>Product Owner, Business partner</t>
  </si>
  <si>
    <t>Arquitectura de la solución: blue prints, documento de explicación de la arquitectura</t>
  </si>
  <si>
    <t>Evaluar desde el componente geográfico las propuestas de la herramienta Hidrometorológica. Resultado de esta evaluación se plantean preguntas a lo proponentes.</t>
  </si>
  <si>
    <t>2 Días</t>
  </si>
  <si>
    <t>Reuniones previas con los proponentes</t>
  </si>
  <si>
    <t>1 persona requerida; sin embargo, los demás componentes del proyecto complementaran las preguntas dirigidas a los proponentes.</t>
  </si>
  <si>
    <t>Propuestas de herramientas Hidrometeorológicas</t>
  </si>
  <si>
    <t>Diseñar formato de validación de información geográfica</t>
  </si>
  <si>
    <t>3 días</t>
  </si>
  <si>
    <t>1 Reunión con los miembros del equipo para aprobación del formato</t>
  </si>
  <si>
    <t xml:space="preserve">Validación de la información geográfica y alfanumérica suministrada por ENEL (Tablas Excel o Base de Datos Access) </t>
  </si>
  <si>
    <t>5 días</t>
  </si>
  <si>
    <t>1 Reunión con los miembros del equipo.</t>
  </si>
  <si>
    <t>Información geográfica base de ENEL en versión final</t>
  </si>
  <si>
    <t>Diseño del catalogo de objetos y el diccionario de datos</t>
  </si>
  <si>
    <t>1 persona ecargada del Sistema de Información Geográfica.</t>
  </si>
  <si>
    <t>Sprint 2</t>
  </si>
  <si>
    <t>Diseño lo formatos para Metadatos de la información geográfica, catalogo de objetos y el diccionario de datos.</t>
  </si>
  <si>
    <t>Diseño lo formatos para el Modelo del Sistema de Información Geográfica</t>
  </si>
  <si>
    <t>Implementar pruebas de modelación de la información geográfica base para ENEL en un Sistema de Información Geográfica  - GDB</t>
  </si>
  <si>
    <t>5 Días</t>
  </si>
  <si>
    <t>1 Reunión con los miembros del equipo para evaluación del proceso</t>
  </si>
  <si>
    <t xml:space="preserve">Información geográfica base de ENEL previamente analizada </t>
  </si>
  <si>
    <t>Sprint 3</t>
  </si>
  <si>
    <t>Procesar y analizar información producto de la modelación de la información geográfica base para ENEL en un Sistema de Información Geográfica  - GDB</t>
  </si>
  <si>
    <t>Sprint 4</t>
  </si>
  <si>
    <t>Probar y Aprender</t>
  </si>
  <si>
    <r>
      <t>•</t>
    </r>
    <r>
      <rPr>
        <sz val="12"/>
        <color rgb="FF000000"/>
        <rFont val="Arial Narrow"/>
        <family val="2"/>
      </rPr>
      <t>Pruebas iterativas</t>
    </r>
  </si>
  <si>
    <r>
      <t>•</t>
    </r>
    <r>
      <rPr>
        <sz val="12"/>
        <color rgb="FF000000"/>
        <rFont val="Arial Narrow"/>
        <family val="2"/>
      </rPr>
      <t>Verificación con usuarios de pequeños paquetes de prueba</t>
    </r>
  </si>
  <si>
    <r>
      <t>•</t>
    </r>
    <r>
      <rPr>
        <sz val="12"/>
        <color rgb="FF000000"/>
        <rFont val="Arial Narrow"/>
        <family val="2"/>
      </rPr>
      <t>Lecciones Aprendidas</t>
    </r>
  </si>
  <si>
    <r>
      <t>•</t>
    </r>
    <r>
      <rPr>
        <sz val="12"/>
        <color rgb="FF000000"/>
        <rFont val="Arial Narrow"/>
        <family val="2"/>
      </rPr>
      <t xml:space="preserve">Corrección inmediata de ajustes </t>
    </r>
  </si>
  <si>
    <r>
      <t>•</t>
    </r>
    <r>
      <rPr>
        <sz val="12"/>
        <color rgb="FF000000"/>
        <rFont val="Arial Narrow"/>
        <family val="2"/>
      </rPr>
      <t>Aprendizaje de usuarios durante la ejecución de pruebas</t>
    </r>
  </si>
  <si>
    <t>Planear y Orquestar Experimentos</t>
  </si>
  <si>
    <r>
      <t>•</t>
    </r>
    <r>
      <rPr>
        <sz val="12"/>
        <color rgb="FF000000"/>
        <rFont val="Arial Narrow"/>
        <family val="2"/>
      </rPr>
      <t>Definir, actualizar y administrar un plan general de iteraciones</t>
    </r>
  </si>
  <si>
    <r>
      <t>•</t>
    </r>
    <r>
      <rPr>
        <sz val="12"/>
        <color rgb="FF000000"/>
        <rFont val="Arial Narrow"/>
        <family val="2"/>
      </rPr>
      <t>Conduir sesiones que aseguren la alineación e integración del equipo</t>
    </r>
  </si>
  <si>
    <r>
      <t>•</t>
    </r>
    <r>
      <rPr>
        <sz val="12"/>
        <color rgb="FF000000"/>
        <rFont val="Arial Narrow"/>
        <family val="2"/>
      </rPr>
      <t>Manejo de riesgos (acciones de contingencia)</t>
    </r>
  </si>
  <si>
    <r>
      <t>•</t>
    </r>
    <r>
      <rPr>
        <sz val="12"/>
        <color rgb="FF000000"/>
        <rFont val="Arial Narrow"/>
        <family val="2"/>
      </rPr>
      <t>Definir las guías y estándares</t>
    </r>
  </si>
  <si>
    <r>
      <t>•</t>
    </r>
    <r>
      <rPr>
        <sz val="12"/>
        <color rgb="FF000000"/>
        <rFont val="Arial Narrow"/>
        <family val="2"/>
      </rPr>
      <t>Verificación de escenarios alternativos de acuerdo a requerimientos</t>
    </r>
  </si>
  <si>
    <t>Mejorar el Prototipo</t>
  </si>
  <si>
    <r>
      <t>•</t>
    </r>
    <r>
      <rPr>
        <sz val="12"/>
        <color rgb="FF000000"/>
        <rFont val="Arial Narrow"/>
        <family val="2"/>
      </rPr>
      <t>Workaound dependiendo del resultado de las pruebas iterativas</t>
    </r>
  </si>
  <si>
    <r>
      <t>•</t>
    </r>
    <r>
      <rPr>
        <sz val="12"/>
        <color rgb="FF000000"/>
        <rFont val="Arial Narrow"/>
        <family val="2"/>
      </rPr>
      <t>Monitorear y administrar los canales de retroalimentación y mejora</t>
    </r>
  </si>
  <si>
    <t>Plan de Diseño de las Iteraciones</t>
  </si>
  <si>
    <r>
      <t>•</t>
    </r>
    <r>
      <rPr>
        <sz val="12"/>
        <color rgb="FF000000"/>
        <rFont val="Arial Narrow"/>
        <family val="2"/>
      </rPr>
      <t>Definir el plan de iteraciones, objetivos, criterios y medidas de éxito</t>
    </r>
  </si>
  <si>
    <r>
      <t>•</t>
    </r>
    <r>
      <rPr>
        <sz val="12"/>
        <color rgb="FF000000"/>
        <rFont val="Arial Narrow"/>
        <family val="2"/>
      </rPr>
      <t>Definir las historias de usuarios y la experiencia de usuario deseada</t>
    </r>
  </si>
  <si>
    <r>
      <t>•</t>
    </r>
    <r>
      <rPr>
        <sz val="12"/>
        <color rgb="FF000000"/>
        <rFont val="Arial Narrow"/>
        <family val="2"/>
      </rPr>
      <t>Definir las capacidades del negocio deseadas</t>
    </r>
  </si>
  <si>
    <r>
      <t>•</t>
    </r>
    <r>
      <rPr>
        <sz val="12"/>
        <color rgb="FF000000"/>
        <rFont val="Arial Narrow"/>
        <family val="2"/>
      </rPr>
      <t>Definir la solución tecnológica (aplicaciones, datos e infraestructura, aspectos de desarrollo y operación)</t>
    </r>
  </si>
  <si>
    <t>Sprint 5</t>
  </si>
  <si>
    <t>Sprint 6</t>
  </si>
  <si>
    <t>Posibles Cambios</t>
  </si>
  <si>
    <r>
      <t>•</t>
    </r>
    <r>
      <rPr>
        <sz val="12"/>
        <color rgb="FF000000"/>
        <rFont val="Arial Narrow"/>
        <family val="2"/>
      </rPr>
      <t>Administar las acciones en el cambio de implementación, adopción y post desarrollo</t>
    </r>
  </si>
  <si>
    <r>
      <t>•</t>
    </r>
    <r>
      <rPr>
        <sz val="12"/>
        <color rgb="FF000000"/>
        <rFont val="Arial Narrow"/>
        <family val="2"/>
      </rPr>
      <t>Establecer cambios en la red de la estructura y equipos</t>
    </r>
  </si>
  <si>
    <r>
      <t>•</t>
    </r>
    <r>
      <rPr>
        <sz val="12"/>
        <color rgb="FF000000"/>
        <rFont val="Arial Narrow"/>
        <family val="2"/>
      </rPr>
      <t>Definir y comunicar los nuevos comportamientos requeridos por los usuarios</t>
    </r>
  </si>
  <si>
    <r>
      <t>•</t>
    </r>
    <r>
      <rPr>
        <sz val="12"/>
        <color rgb="FF000000"/>
        <rFont val="Arial Narrow"/>
        <family val="2"/>
      </rPr>
      <t>Monitorear y administrar los canales de retroalimentación y escalación</t>
    </r>
  </si>
  <si>
    <t>Prototipo de integración para el Sistema de Hidrología</t>
  </si>
  <si>
    <r>
      <t>•</t>
    </r>
    <r>
      <rPr>
        <sz val="12"/>
        <color rgb="FF000000"/>
        <rFont val="Arial Narrow"/>
        <family val="2"/>
      </rPr>
      <t>Sujeto a elección por ENEL en la fas dos del proyecto</t>
    </r>
  </si>
  <si>
    <t>Sprint 7</t>
  </si>
  <si>
    <t>Construir y Probar las Iteraciones</t>
  </si>
  <si>
    <r>
      <t>•</t>
    </r>
    <r>
      <rPr>
        <sz val="12"/>
        <color rgb="FF000000"/>
        <rFont val="Arial Narrow"/>
        <family val="2"/>
      </rPr>
      <t>Construir y probar los procesos del negocio</t>
    </r>
  </si>
  <si>
    <r>
      <t>•</t>
    </r>
    <r>
      <rPr>
        <sz val="12"/>
        <color rgb="FF000000"/>
        <rFont val="Arial Narrow"/>
        <family val="2"/>
      </rPr>
      <t>Llevar a pruebas extremo a extremo los procesos con la soluión tecnológica</t>
    </r>
  </si>
  <si>
    <r>
      <t>•</t>
    </r>
    <r>
      <rPr>
        <sz val="12"/>
        <color rgb="FF000000"/>
        <rFont val="Arial Narrow"/>
        <family val="2"/>
      </rPr>
      <t>Preparar y probar los posibles cambios</t>
    </r>
  </si>
  <si>
    <r>
      <t>•</t>
    </r>
    <r>
      <rPr>
        <sz val="12"/>
        <color rgb="FF000000"/>
        <rFont val="Arial Narrow"/>
        <family val="2"/>
      </rPr>
      <t>Probar la calidad de los datos</t>
    </r>
  </si>
  <si>
    <r>
      <t>•</t>
    </r>
    <r>
      <rPr>
        <sz val="12"/>
        <color rgb="FF000000"/>
        <rFont val="Arial Narrow"/>
        <family val="2"/>
      </rPr>
      <t>Probar la experiencia de usuario</t>
    </r>
  </si>
  <si>
    <t>Iteraciones de Entrega y Estabilización</t>
  </si>
  <si>
    <r>
      <t>•</t>
    </r>
    <r>
      <rPr>
        <sz val="12"/>
        <color rgb="FF000000"/>
        <rFont val="Arial Narrow"/>
        <family val="2"/>
      </rPr>
      <t xml:space="preserve">Despliegue de la solución tecnológica </t>
    </r>
  </si>
  <si>
    <r>
      <t>•</t>
    </r>
    <r>
      <rPr>
        <sz val="12"/>
        <color rgb="FF000000"/>
        <rFont val="Arial Narrow"/>
        <family val="2"/>
      </rPr>
      <t>Despliegue de los datos y modelos analíticos</t>
    </r>
  </si>
  <si>
    <r>
      <t>•</t>
    </r>
    <r>
      <rPr>
        <sz val="12"/>
        <color rgb="FF000000"/>
        <rFont val="Arial Narrow"/>
        <family val="2"/>
      </rPr>
      <t>Obtener la aceptación del cliente</t>
    </r>
  </si>
  <si>
    <r>
      <t>•</t>
    </r>
    <r>
      <rPr>
        <sz val="12"/>
        <color rgb="FF000000"/>
        <rFont val="Arial Narrow"/>
        <family val="2"/>
      </rPr>
      <t>Establecer reuniones para manejar los eventos principales (Golive, CutOver y lanzamiento)</t>
    </r>
  </si>
  <si>
    <r>
      <t>•</t>
    </r>
    <r>
      <rPr>
        <sz val="12"/>
        <color rgb="FF000000"/>
        <rFont val="Arial Narrow"/>
        <family val="2"/>
      </rPr>
      <t>Equipos de apoyo para realizar la estabilización</t>
    </r>
  </si>
  <si>
    <t>Sprint 8</t>
  </si>
  <si>
    <t>Tarea</t>
  </si>
  <si>
    <t>responsable</t>
  </si>
  <si>
    <t>fecha</t>
  </si>
  <si>
    <t>Finalizar presentación Kickoff</t>
  </si>
  <si>
    <t>Diego, Steven, Leonardo</t>
  </si>
  <si>
    <t>En el equipo pongamos foto, nombre de la gente (una biografía por ejemplo) De la analista les pasó foto y nombre. Nos toca mentira piadosa y decir si nos preguntan qué  no puedo estar esta semana por un tema de salud pero ya la próxima se vincula.</t>
  </si>
  <si>
    <t xml:space="preserve">2. Yo pondría roles y responsabilidades </t>
  </si>
  <si>
    <t>3. Pondría el cronograma semanal de reuniones/encuentros (ejemplo los dailies)</t>
  </si>
  <si>
    <t>Diego,</t>
  </si>
  <si>
    <t>4. Pondría un slide más detallado de lo que se viene inmediatamente los próximos días y acordaría de una vez las fechas y horas.</t>
  </si>
  <si>
    <t>diego</t>
  </si>
  <si>
    <t>5. Va a salir el tema de la fase 2, estar listos con el discurso.</t>
  </si>
  <si>
    <t>Definir planeación de sprint, (reuniones, metodología, entregables)</t>
  </si>
  <si>
    <t>Steven Jaimes</t>
  </si>
  <si>
    <t>Definir plan de pruebas, (pruebas unitarias, funcionales, integración, carga)</t>
  </si>
  <si>
    <t>finalizar y complementar la planificación de los sprint</t>
  </si>
  <si>
    <t>Leonardo Peraza</t>
  </si>
  <si>
    <t>finalizar y presentar presentación de comparación de software, ( invitación, confirmar participantes Internos, definir siguientes pasos)</t>
  </si>
  <si>
    <t xml:space="preserve">Generar las alternativas de software </t>
  </si>
  <si>
    <t>construcción</t>
  </si>
  <si>
    <t>pruebas</t>
  </si>
  <si>
    <t>despligue</t>
  </si>
  <si>
    <t>Sprint 0</t>
  </si>
  <si>
    <t>KO</t>
  </si>
  <si>
    <t>WS</t>
  </si>
  <si>
    <t>BL</t>
  </si>
  <si>
    <t xml:space="preserve">pruebas </t>
  </si>
  <si>
    <t>despliegue</t>
  </si>
  <si>
    <t>Avance</t>
  </si>
  <si>
    <t>Payment Milestone</t>
  </si>
  <si>
    <t>Diego Agudelo</t>
  </si>
  <si>
    <t>mes</t>
  </si>
  <si>
    <t>Jul-Ago</t>
  </si>
  <si>
    <t>Ago-Sep</t>
  </si>
  <si>
    <t>Sep-Oct</t>
  </si>
  <si>
    <t>Oct-Nov</t>
  </si>
  <si>
    <t>Nov-Dic</t>
  </si>
  <si>
    <t>Dic-Ene</t>
  </si>
  <si>
    <t>Objetivo</t>
  </si>
  <si>
    <t>Project Set UP</t>
  </si>
  <si>
    <t>Integración de Fuel and Gas</t>
  </si>
  <si>
    <t>Agregar capas complementarias e integración con modelo de hidrología</t>
  </si>
  <si>
    <t xml:space="preserve">conformación geo database integrada </t>
  </si>
  <si>
    <t>Despliegue de solución</t>
  </si>
  <si>
    <t>estabilización y entrenamiento usuarios finales</t>
  </si>
  <si>
    <t>Product Backlog hidrología</t>
  </si>
  <si>
    <t>Initial Plan Meeting</t>
  </si>
  <si>
    <t>diego.Agudelo</t>
  </si>
  <si>
    <t xml:space="preserve">1.quisiera tener un formato mínimo de metadatos </t>
  </si>
  <si>
    <t>Poder definir y optimizar rutas para visitas de clientes y potenciales clientes,</t>
  </si>
  <si>
    <t>Diana Calqa</t>
  </si>
  <si>
    <t>Leguizamon Sandoval, Andrea Liliana, Enel Colombia</t>
  </si>
  <si>
    <t>Cardenas Colmenares, Eder Geovanny, Enel Colombia</t>
  </si>
  <si>
    <t>Salinas Talero, Adriana Carolina, Enel Colombia (Tentative in Outlook)</t>
  </si>
  <si>
    <t>Velasco Sanchez, Andres Norberto, Enel Colombia (Accepted in Outlook)</t>
  </si>
  <si>
    <t>Alfonso Turga, Francisco Javier, Enel Colombia (Accepted in Outlook)</t>
  </si>
  <si>
    <t>Peraza Herrera, W.</t>
  </si>
  <si>
    <t>Recursos</t>
  </si>
  <si>
    <t>Disponibilidad total</t>
  </si>
  <si>
    <t>Tiempo requerido</t>
  </si>
  <si>
    <t>4h</t>
  </si>
  <si>
    <t>2h</t>
  </si>
  <si>
    <t>15 min</t>
  </si>
  <si>
    <t>sprint1</t>
  </si>
  <si>
    <t>Sprint3</t>
  </si>
  <si>
    <t>Sprint5</t>
  </si>
  <si>
    <t>Sprint2</t>
  </si>
  <si>
    <t>Sprint4</t>
  </si>
  <si>
    <t>Sprint6</t>
  </si>
  <si>
    <t>Sprint7</t>
  </si>
  <si>
    <t>Sprint8</t>
  </si>
  <si>
    <t>Sprint1</t>
  </si>
  <si>
    <t>S1</t>
  </si>
  <si>
    <t>S2</t>
  </si>
  <si>
    <t>S3</t>
  </si>
  <si>
    <t>S4</t>
  </si>
  <si>
    <t>S5</t>
  </si>
  <si>
    <t>S6</t>
  </si>
  <si>
    <t>S7</t>
  </si>
  <si>
    <t>S8</t>
  </si>
  <si>
    <t>Must Have</t>
  </si>
  <si>
    <t>Inventario</t>
  </si>
  <si>
    <t xml:space="preserve">user stories by the development team </t>
  </si>
  <si>
    <t>Tareas</t>
  </si>
  <si>
    <t>Task derived to the project team</t>
  </si>
  <si>
    <t>End_to_end</t>
  </si>
  <si>
    <t>Project Time line</t>
  </si>
  <si>
    <t>planning with user stories</t>
  </si>
  <si>
    <t>Alta disponibilidad de la información, escalabilidad, seguridad,</t>
  </si>
  <si>
    <t>tener acceso con LDAP a la base de datos</t>
  </si>
  <si>
    <t>Nice To Have</t>
  </si>
  <si>
    <t>1. Tener acceso con usuario de directorio activo enel</t>
  </si>
  <si>
    <t>BD espacial dentro de una estructura corporativa (en ambiente de desarrollo)</t>
  </si>
  <si>
    <t>Segregación de funciones
Seguridad
Trazabilidad de la información
Esquema de gobierno</t>
  </si>
  <si>
    <t>Recopilar funciones y requerimientos de las areas( quienes son, que necesitan, frecuencia, gerencia) y mapear con roles definidos</t>
  </si>
  <si>
    <t xml:space="preserve">Arquitectura y Diseño de Modelo y Diccionario de datos, catalogo de objetos y metadatos </t>
  </si>
  <si>
    <t xml:space="preserve">Implementación de Modelo y Diccionario de datos, catalogo de objetos y metadatos </t>
  </si>
  <si>
    <t xml:space="preserve">1. Informe de estado de la información entregada
2. Propuesta de información objetivo
3. Plan de entrega de información </t>
  </si>
  <si>
    <t>Visión del estado actual de la información de Enel, y un concepto del futuro de la información corporativa</t>
  </si>
  <si>
    <t>Implementación de recomendaciones del informe de calidad</t>
  </si>
  <si>
    <t xml:space="preserve">Estructuración de la información, estandarización, </t>
  </si>
  <si>
    <t>La fuente no es pública, se publica el resultado y publican un dibujo (jpg), requerimos el origen con el cual se generó el dibujo</t>
  </si>
  <si>
    <t>1.exista la información
2. se requiere el raster, (
3.</t>
  </si>
  <si>
    <t xml:space="preserve">8/1/2018 se retiró en </t>
  </si>
  <si>
    <t>Carga de información  en la  Geo-database</t>
  </si>
  <si>
    <t>Estandarización de la información</t>
  </si>
  <si>
    <t>Should Have</t>
  </si>
  <si>
    <t>construcción (prototipo)</t>
  </si>
  <si>
    <t>pruebas  (Piloto)</t>
  </si>
  <si>
    <t>despliegue (escalar)</t>
  </si>
  <si>
    <t>Revenues</t>
  </si>
  <si>
    <t xml:space="preserve">Otros </t>
  </si>
  <si>
    <t>Facturas</t>
  </si>
  <si>
    <t>Active</t>
  </si>
  <si>
    <t>2,3</t>
  </si>
  <si>
    <t>vacaciones</t>
  </si>
  <si>
    <t>Vacaciones</t>
  </si>
  <si>
    <t>STATUS</t>
  </si>
  <si>
    <t>Actual</t>
  </si>
  <si>
    <t>Proxima</t>
  </si>
  <si>
    <t>S0</t>
  </si>
  <si>
    <t>No está dentro de las politicas de seguridad de enel, la historia debe retirarse del backlog</t>
  </si>
  <si>
    <t>Esta debe reformularse en varias historias de usuario
-Definición del modelo de Metadatos 
-Filtrado de información
-Definición de información a incluir en la base
-Revisión de calidad de la información
- plan de integración (carga de la información)</t>
  </si>
  <si>
    <t xml:space="preserve"> -depende del ambiente de desarrollo
- y el tamaño del raster de prueba
- depende de Historia No. 2</t>
  </si>
  <si>
    <t xml:space="preserve">Depende de ICT, 8/14/2018 se presento incidente con el aprovisionamiento de los servidores </t>
  </si>
  <si>
    <t>Removed</t>
  </si>
  <si>
    <t>Prioridad</t>
  </si>
  <si>
    <t>Por Definir</t>
  </si>
  <si>
    <t>HU Status</t>
  </si>
  <si>
    <t>Ready</t>
  </si>
  <si>
    <t xml:space="preserve">S1 -&gt; Arquitectura y Diseño de Modelo y Diccionario de datos, catalogo de objetos y metadatos </t>
  </si>
  <si>
    <t xml:space="preserve">S2 -&gt; Implementación de Modelo y Diccionario de datos, catalogo de objetos y metadatos </t>
  </si>
  <si>
    <t>S3 -&gt; Carga de información  en la  Geo-database</t>
  </si>
  <si>
    <t>S4 -&gt; Integración de Fuel and Gas</t>
  </si>
  <si>
    <t>S5 -&gt; Agregar capas complementarias e integración con modelo de hidrología</t>
  </si>
  <si>
    <t>S7 -&gt; Despliegue de solución</t>
  </si>
  <si>
    <t>S8 -&gt; estabilización y entrenamiento usuarios finales</t>
  </si>
  <si>
    <t>Complete</t>
  </si>
  <si>
    <t>1. Extensión instalada
2. Pruebas de carga de shapes
3. Pruebas de consulta</t>
  </si>
  <si>
    <t>Garantizar el funcionamiento de la base de datos espacial
Confiabilidad y calidad de la información
Digitalización de la información</t>
  </si>
  <si>
    <t>Requerimos instalar la extensión de Postgis con todas sus dependencias dentro del servidor de base de datos entregado (en desarrollo)</t>
  </si>
  <si>
    <t>Requerimos un modelo de Metadatos que permita conocer el origen, características y custodia de la información</t>
  </si>
  <si>
    <t>1. Estandarizado
2. Trazable mediante el estándar definido
3. Template estándar definido</t>
  </si>
  <si>
    <t>Requerimos una definición de la información adicional incluyendo proyectos y temporal.</t>
  </si>
  <si>
    <t>1. Definir información a incluir dentro de cada esquema, entregable excel (modelo de datos, esquemas proyecto y temporal)
2. Cubrir la totalidad de la información suministrada</t>
  </si>
  <si>
    <t xml:space="preserve">Se requiere un plan de integración para definir qué capas, metadatos, van a ser construidos, cargados y entregados. </t>
  </si>
  <si>
    <t xml:space="preserve">1. Plan de construcción y entrega de metadatos (1 sesión de trabajo)
2. Inicio de la construcción de metadatos
3. Capas estandarizadas que van a ser cargadas. </t>
  </si>
  <si>
    <t>Requerimos que las capas de información se encuentren en correcta georreferenciación, con los atributos definidos en el catálogo de objetos, y sin errores de topología</t>
  </si>
  <si>
    <t>1. Corrección de la información entregada con respecto a los catálogos de objetos
2. Muestreo del 10% de la información para verificar las correcciones</t>
  </si>
  <si>
    <r>
      <t xml:space="preserve">1.Informe de arquitectura 
      Modelo de datos (diagrama)
      Diseño Catalogo de objetos (explicación de cada Objeto) versión 1
      Diseño Diccionario de datos V1 
</t>
    </r>
    <r>
      <rPr>
        <strike/>
        <sz val="10"/>
        <color theme="1"/>
        <rFont val="Calibri"/>
        <family val="2"/>
        <scheme val="minor"/>
      </rPr>
      <t xml:space="preserve">      Diseño de Metadatos</t>
    </r>
    <r>
      <rPr>
        <sz val="10"/>
        <color theme="1"/>
        <rFont val="Calibri"/>
        <family val="2"/>
        <scheme val="minor"/>
      </rPr>
      <t xml:space="preserve">
Queremos tener un espacio para guardar información 
Básica
Temporal
Proyectos 
Temática</t>
    </r>
  </si>
  <si>
    <t>Se acepta el cambio de la historia de usuario: retirar alcance de la historia de usuario 5, el diseño de metadatos.
Tabla de contenido, glosario, descripción breve de la norma, nombre (Base de datos espacial de Energy Management), marcadores con los títulos. Entregar en word para tener control de cambios.</t>
  </si>
  <si>
    <t>Me gustaría tener una definición de roles y responsabilidades de la administración de BD</t>
  </si>
  <si>
    <t xml:space="preserve">1. Permita ampliación/disminución de recursos tecnológicos (memoria, disco duro, procesamiento)
3. Cumpla con criterios de seguridad
4. Disponible dentro de la VPN de Enel
5. Documento con especificaciones técnicas (validación con Andrea)
</t>
  </si>
  <si>
    <t>Definir la tecnología e infraestructura requerida para la BD espacial de producción</t>
  </si>
  <si>
    <t>1.La información no debe ocupar espacio local
2. Debe aceptar múltiples conexiones  de forma concurrente
3.No debe depender del software de visualización
4. La BD debe permitir el ingreso de información nueva (schemas, tablas, registros)
5. Open source (postgres)
3. Cumpla con criterios de seguridad</t>
  </si>
  <si>
    <t>1.Definición de los grupos de usuarios (roles) (permisos y operaciones permitidas (CURD))
2. Matriz de cruce de roles contra las operaciones
3. Roles creados en base de datos</t>
  </si>
  <si>
    <t xml:space="preserve">Información centralizada, estandarizada, validada Permite integración con otros sistemas de la compañía, 
Información de calidad para toma de decisiones
</t>
  </si>
  <si>
    <t>Revisión basada en estandares de NTC (4 revisiones ) de la información base entregada</t>
  </si>
  <si>
    <t xml:space="preserve">Queremos un diseño de un modelo de datos geográfica, estandarizado, que cumpla con las necesidades de información de Enel </t>
  </si>
  <si>
    <t>Estructuración de la información, estandarización</t>
  </si>
  <si>
    <t>La BD debe permitir la carga de información de tipo Raster</t>
  </si>
  <si>
    <t>1. Tomando un archivo raster se agrega con comandos de Postgis para subirlo a la BD
2. Prueba exitosa
3. Recomendación de tamaño máximo de raster  (en MB)</t>
  </si>
  <si>
    <t>Información disponible para cualquier geografía</t>
  </si>
  <si>
    <t>1. Información cargada con estándares establecidos
2. Información secundaria de interes</t>
  </si>
  <si>
    <t xml:space="preserve">1. Definición de roles
2. Basado en los servicios de  realizar una prueba de servicios Delete, Create, Update sobre la BD.
3. Servicios CRUD definidos. 6 CRUD raster/vectorial, agregados e implementados </t>
  </si>
  <si>
    <t xml:space="preserve">Los usuarios podrán realizar operaciones de lectura directamente sobre la base de datos. Las operaciones CUD (create, Update, Delete) se realizarán a través de un servicio </t>
  </si>
  <si>
    <t>Quisiéramos tener dentro de la información base el DEM 12.5 de nuestras cuencas y otras de interés</t>
  </si>
  <si>
    <t>Nos gustaria tener en la BD el procesamiento hidrologico de los DEM de 30 y 90m de toda Colombia
Equipo de Recursos</t>
  </si>
  <si>
    <t>Pruebas de BD espacial 
Delimitar cuencas a partir de las capas preprocesadas del DEM 30 y 90m
Recursos</t>
  </si>
  <si>
    <t>Se require integrar información base de vias(tipo I,II,II,calle y carrera), centros poblados, barrios, veredas, Bogotá, Cali, Barraquilla, Medellin, Cartagena, Bucaramanga, Manizales, Pereira</t>
  </si>
  <si>
    <t>Pruebas de BD espacial 
Interpolación a partir de datos de tablas de Geo y de datos de la DB
Tomar los datos de la BD hidrometeorologica,  hacer la interpolación por IDW y guardar  y consultar el resultado en el esquerma temporal</t>
  </si>
  <si>
    <t>Pruebas de consulta espaciales y consultas a la BD</t>
  </si>
  <si>
    <t xml:space="preserve">Definir el sistema de coordenadas </t>
  </si>
  <si>
    <t>Levantamiento de información secundaria de clientes del mercado no regulado</t>
  </si>
  <si>
    <t>Requerimos  recopilar e integrar información  predial para georreferenciar clientes y clientes potenciales de energía y gas</t>
  </si>
  <si>
    <t>Queremos recopilar e integrar la información de gasoductos de transporte del SNT para seguimiento de capacidades contratadas y disponibles</t>
  </si>
  <si>
    <t>La BD que almacena hidrometeorología no debe depender del software de hidrología, debe ser independiente</t>
  </si>
  <si>
    <t>Me gustaría tener información referente al identificador de las estaciones</t>
  </si>
  <si>
    <t>Queremos tener los metadatos de la información geográfica que identifiquemos</t>
  </si>
  <si>
    <t>Quisiéramos tener un manual de usuarios de la BD
-carga de información
tipos de usuarios
características base</t>
  </si>
  <si>
    <t>Capas adicionales a incluir en la BD Geográfica 
-Clientes mercado No Regulado
-Cartera
-Facturación</t>
  </si>
  <si>
    <t>La BD que almacena hidrometerología no debe depender del software de hidrología, debe ser independiente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</si>
</sst>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m/d;@"/>
    <numFmt numFmtId="166" formatCode="dddd"/>
    <numFmt numFmtId="167" formatCode="_(&quot;$&quot;* #,##0_);_(&quot;$&quot;* \(#,##0\);_(&quot;$&quot;* &quot;-&quot;??_);_(@_)"/>
  </numFmts>
  <fonts count="70"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4"/>
      <color indexed="8"/>
      <name val="Arial"/>
      <family val="2"/>
    </font>
    <font>
      <sz val="8"/>
      <name val="Arial"/>
      <family val="2"/>
    </font>
    <font>
      <sz val="10"/>
      <name val="Arial"/>
      <family val="2"/>
    </font>
    <font>
      <sz val="10"/>
      <color indexed="12"/>
      <name val="Arial"/>
      <family val="2"/>
    </font>
    <font>
      <sz val="8"/>
      <name val="Arial"/>
      <family val="2"/>
    </font>
    <font>
      <u/>
      <sz val="10"/>
      <color theme="10"/>
      <name val="Arial"/>
      <family val="2"/>
    </font>
    <font>
      <b/>
      <sz val="16"/>
      <name val="Arial Bold"/>
    </font>
    <font>
      <b/>
      <sz val="14"/>
      <name val="Arial Bold"/>
    </font>
    <font>
      <sz val="10"/>
      <color indexed="23"/>
      <name val="Arial"/>
      <family val="2"/>
    </font>
    <font>
      <sz val="10"/>
      <color indexed="12"/>
      <name val="Calibri"/>
      <family val="2"/>
    </font>
    <font>
      <sz val="10"/>
      <color theme="1"/>
      <name val="Calibri"/>
      <family val="2"/>
      <scheme val="minor"/>
    </font>
    <font>
      <b/>
      <sz val="14"/>
      <color indexed="62"/>
      <name val="Calibri"/>
      <family val="2"/>
    </font>
    <font>
      <u/>
      <sz val="11"/>
      <name val="Calibri"/>
      <family val="2"/>
    </font>
    <font>
      <sz val="12"/>
      <name val="Calibri"/>
      <family val="2"/>
    </font>
    <font>
      <sz val="16"/>
      <name val="Arial"/>
      <family val="2"/>
    </font>
    <font>
      <sz val="10"/>
      <color theme="0"/>
      <name val="Calibri"/>
      <family val="2"/>
      <scheme val="minor"/>
    </font>
    <font>
      <sz val="14"/>
      <color theme="0"/>
      <name val="Calibri"/>
      <family val="2"/>
      <scheme val="minor"/>
    </font>
    <font>
      <b/>
      <sz val="12"/>
      <color theme="0"/>
      <name val="Calibri"/>
      <family val="2"/>
      <scheme val="minor"/>
    </font>
    <font>
      <i/>
      <sz val="10"/>
      <color indexed="8"/>
      <name val="Calibri"/>
      <family val="2"/>
      <scheme val="minor"/>
    </font>
    <font>
      <b/>
      <sz val="10"/>
      <color indexed="8"/>
      <name val="Calibri"/>
      <family val="2"/>
      <scheme val="minor"/>
    </font>
    <font>
      <sz val="10"/>
      <color indexed="9"/>
      <name val="Calibri"/>
      <family val="2"/>
      <scheme val="minor"/>
    </font>
    <font>
      <sz val="10"/>
      <name val="Calibri"/>
      <family val="2"/>
      <scheme val="minor"/>
    </font>
    <font>
      <sz val="14"/>
      <name val="Calibri"/>
      <family val="2"/>
      <scheme val="minor"/>
    </font>
    <font>
      <b/>
      <sz val="10"/>
      <color theme="0"/>
      <name val="Calibri"/>
      <family val="2"/>
      <scheme val="minor"/>
    </font>
    <font>
      <b/>
      <sz val="10"/>
      <name val="Calibri"/>
      <family val="2"/>
      <scheme val="minor"/>
    </font>
    <font>
      <sz val="8.1999999999999993"/>
      <color indexed="8"/>
      <name val="Calibri"/>
      <family val="2"/>
      <scheme val="minor"/>
    </font>
    <font>
      <u/>
      <sz val="10"/>
      <color theme="10"/>
      <name val="Calibri"/>
      <family val="2"/>
      <scheme val="minor"/>
    </font>
    <font>
      <sz val="10"/>
      <color theme="4"/>
      <name val="Calibri"/>
      <family val="2"/>
      <scheme val="minor"/>
    </font>
    <font>
      <sz val="10"/>
      <color indexed="10"/>
      <name val="Calibri"/>
      <family val="2"/>
      <scheme val="minor"/>
    </font>
    <font>
      <sz val="10"/>
      <color indexed="8"/>
      <name val="Calibri"/>
      <family val="2"/>
      <scheme val="minor"/>
    </font>
    <font>
      <sz val="12"/>
      <color theme="0"/>
      <name val="Calibri"/>
      <family val="2"/>
      <scheme val="minor"/>
    </font>
    <font>
      <b/>
      <sz val="10"/>
      <color indexed="9"/>
      <name val="Calibri"/>
      <family val="2"/>
      <scheme val="minor"/>
    </font>
    <font>
      <b/>
      <sz val="16"/>
      <color theme="0"/>
      <name val="Calibri"/>
      <family val="2"/>
      <scheme val="minor"/>
    </font>
    <font>
      <sz val="22"/>
      <color theme="0"/>
      <name val="Calibri"/>
      <family val="2"/>
      <scheme val="minor"/>
    </font>
    <font>
      <sz val="22"/>
      <color indexed="18"/>
      <name val="Calibri"/>
      <family val="2"/>
      <scheme val="minor"/>
    </font>
    <font>
      <sz val="10"/>
      <color indexed="18"/>
      <name val="Calibri"/>
      <family val="2"/>
      <scheme val="minor"/>
    </font>
    <font>
      <b/>
      <sz val="14"/>
      <color indexed="62"/>
      <name val="Calibri"/>
      <family val="2"/>
      <scheme val="minor"/>
    </font>
    <font>
      <b/>
      <sz val="11"/>
      <color rgb="FFFFFFFF"/>
      <name val="Calibri"/>
      <family val="2"/>
      <scheme val="minor"/>
    </font>
    <font>
      <sz val="11"/>
      <color rgb="FF0000FF"/>
      <name val="Calibri"/>
      <family val="2"/>
      <scheme val="minor"/>
    </font>
    <font>
      <sz val="11"/>
      <color rgb="FFC00000"/>
      <name val="Calibri"/>
      <family val="2"/>
      <scheme val="minor"/>
    </font>
    <font>
      <sz val="11"/>
      <name val="Calibri"/>
      <family val="2"/>
      <scheme val="minor"/>
    </font>
    <font>
      <sz val="8"/>
      <color indexed="12"/>
      <name val="Calibri"/>
      <family val="2"/>
      <scheme val="minor"/>
    </font>
    <font>
      <i/>
      <sz val="11"/>
      <color indexed="60"/>
      <name val="Calibri"/>
      <family val="2"/>
      <scheme val="minor"/>
    </font>
    <font>
      <sz val="10"/>
      <color theme="0"/>
      <name val="Wingdings"/>
      <charset val="2"/>
    </font>
    <font>
      <sz val="10"/>
      <color theme="0"/>
      <name val="Cambria"/>
      <family val="1"/>
      <scheme val="major"/>
    </font>
    <font>
      <sz val="11"/>
      <color theme="0"/>
      <name val="Calibri"/>
      <family val="2"/>
      <scheme val="minor"/>
    </font>
    <font>
      <b/>
      <sz val="14"/>
      <color theme="1"/>
      <name val="Calibri"/>
      <family val="2"/>
      <scheme val="minor"/>
    </font>
    <font>
      <b/>
      <sz val="10"/>
      <color theme="1"/>
      <name val="Arial Narrow"/>
      <family val="2"/>
    </font>
    <font>
      <b/>
      <sz val="12"/>
      <color rgb="FF000088"/>
      <name val="Arial Narrow"/>
      <family val="2"/>
    </font>
    <font>
      <sz val="12"/>
      <color theme="1"/>
      <name val="Arial Narrow"/>
      <family val="2"/>
    </font>
    <font>
      <sz val="12"/>
      <color rgb="FF000000"/>
      <name val="Arial Narrow"/>
      <family val="2"/>
    </font>
    <font>
      <b/>
      <sz val="20"/>
      <color theme="1"/>
      <name val="Arial Narrow"/>
      <family val="2"/>
    </font>
    <font>
      <b/>
      <sz val="14"/>
      <color theme="1"/>
      <name val="Arial Narrow"/>
      <family val="2"/>
    </font>
    <font>
      <b/>
      <sz val="9"/>
      <color theme="1"/>
      <name val="Arial Narrow"/>
      <family val="2"/>
    </font>
    <font>
      <b/>
      <sz val="18"/>
      <color theme="1"/>
      <name val="Arial Narrow"/>
      <family val="2"/>
    </font>
    <font>
      <strike/>
      <sz val="11"/>
      <color theme="1"/>
      <name val="Calibri"/>
      <family val="2"/>
      <scheme val="minor"/>
    </font>
    <font>
      <strike/>
      <sz val="12"/>
      <color theme="1"/>
      <name val="Arial Narrow"/>
      <family val="2"/>
    </font>
    <font>
      <sz val="9"/>
      <color indexed="81"/>
      <name val="Tahoma"/>
      <family val="2"/>
    </font>
    <font>
      <b/>
      <sz val="9"/>
      <color indexed="81"/>
      <name val="Tahoma"/>
      <family val="2"/>
    </font>
    <font>
      <sz val="10"/>
      <color theme="1"/>
      <name val="Arial"/>
      <family val="2"/>
    </font>
    <font>
      <b/>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rgb="FF4F81BD"/>
        <bgColor indexed="64"/>
      </patternFill>
    </fill>
    <fill>
      <patternFill patternType="solid">
        <fgColor rgb="FFD3DFEE"/>
        <bgColor indexed="64"/>
      </patternFill>
    </fill>
    <fill>
      <patternFill patternType="solid">
        <fgColor indexed="31"/>
        <bgColor indexed="64"/>
      </patternFill>
    </fill>
    <fill>
      <patternFill patternType="solid">
        <fgColor theme="4"/>
        <bgColor indexed="64"/>
      </patternFill>
    </fill>
    <fill>
      <patternFill patternType="solid">
        <fgColor theme="9"/>
      </patternFill>
    </fill>
    <fill>
      <patternFill patternType="solid">
        <fgColor rgb="FFE2EFDA"/>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6"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rgb="FF7BA0CD"/>
      </left>
      <right style="medium">
        <color rgb="FF7BA0CD"/>
      </right>
      <top style="medium">
        <color rgb="FF7BA0CD"/>
      </top>
      <bottom style="medium">
        <color rgb="FF7BA0CD"/>
      </bottom>
      <diagonal/>
    </border>
    <border>
      <left/>
      <right style="medium">
        <color rgb="FF7BA0CD"/>
      </right>
      <top style="medium">
        <color rgb="FF7BA0CD"/>
      </top>
      <bottom style="medium">
        <color rgb="FF7BA0CD"/>
      </bottom>
      <diagonal/>
    </border>
    <border>
      <left/>
      <right/>
      <top style="medium">
        <color rgb="FF7BA0CD"/>
      </top>
      <bottom style="medium">
        <color rgb="FF7BA0CD"/>
      </bottom>
      <diagonal/>
    </border>
    <border>
      <left style="medium">
        <color rgb="FF7BA0CD"/>
      </left>
      <right style="medium">
        <color rgb="FF7BA0CD"/>
      </right>
      <top/>
      <bottom style="medium">
        <color rgb="FF7BA0CD"/>
      </bottom>
      <diagonal/>
    </border>
    <border>
      <left/>
      <right style="medium">
        <color rgb="FF7BA0CD"/>
      </right>
      <top/>
      <bottom style="medium">
        <color rgb="FF7BA0CD"/>
      </bottom>
      <diagonal/>
    </border>
    <border>
      <left/>
      <right/>
      <top/>
      <bottom style="medium">
        <color rgb="FF7BA0CD"/>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ck">
        <color theme="0"/>
      </left>
      <right style="thick">
        <color theme="0"/>
      </right>
      <top style="thick">
        <color theme="0"/>
      </top>
      <bottom style="thick">
        <color theme="0"/>
      </bottom>
      <diagonal/>
    </border>
    <border>
      <left style="medium">
        <color theme="0"/>
      </left>
      <right style="medium">
        <color theme="0"/>
      </right>
      <top style="medium">
        <color theme="0"/>
      </top>
      <bottom style="medium">
        <color theme="0"/>
      </bottom>
      <diagonal/>
    </border>
    <border>
      <left/>
      <right style="thin">
        <color indexed="64"/>
      </right>
      <top/>
      <bottom/>
      <diagonal/>
    </border>
  </borders>
  <cellStyleXfs count="16">
    <xf numFmtId="0" fontId="0" fillId="0" borderId="0"/>
    <xf numFmtId="0" fontId="13" fillId="0" borderId="0" applyNumberFormat="0" applyFill="0" applyBorder="0" applyAlignment="0" applyProtection="0">
      <alignment vertical="top"/>
      <protection locked="0"/>
    </xf>
    <xf numFmtId="0" fontId="10" fillId="0" borderId="0"/>
    <xf numFmtId="0" fontId="10" fillId="0" borderId="0"/>
    <xf numFmtId="0" fontId="10" fillId="0" borderId="0"/>
    <xf numFmtId="0" fontId="18" fillId="0" borderId="0"/>
    <xf numFmtId="0" fontId="10" fillId="0" borderId="0"/>
    <xf numFmtId="0" fontId="10" fillId="0" borderId="0"/>
    <xf numFmtId="0" fontId="22" fillId="0" borderId="0"/>
    <xf numFmtId="0" fontId="10" fillId="0" borderId="0"/>
    <xf numFmtId="0" fontId="10" fillId="0" borderId="0"/>
    <xf numFmtId="0" fontId="10" fillId="0" borderId="0"/>
    <xf numFmtId="0" fontId="53" fillId="8" borderId="0" applyNumberFormat="0" applyBorder="0" applyAlignment="0" applyProtection="0"/>
    <xf numFmtId="0" fontId="7" fillId="0" borderId="0"/>
    <xf numFmtId="9" fontId="7" fillId="0" borderId="0" applyFont="0" applyFill="0" applyBorder="0" applyAlignment="0" applyProtection="0"/>
    <xf numFmtId="44" fontId="67" fillId="0" borderId="0" applyFont="0" applyFill="0" applyBorder="0" applyAlignment="0" applyProtection="0"/>
  </cellStyleXfs>
  <cellXfs count="241">
    <xf numFmtId="0" fontId="0" fillId="0" borderId="0" xfId="0"/>
    <xf numFmtId="0" fontId="0" fillId="0" borderId="0" xfId="0" applyAlignment="1">
      <alignment wrapText="1"/>
    </xf>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8" fillId="0" borderId="2" xfId="0" applyFont="1" applyFill="1" applyBorder="1" applyAlignment="1" applyProtection="1">
      <alignment horizontal="center"/>
    </xf>
    <xf numFmtId="0" fontId="8" fillId="0" borderId="3" xfId="0" applyFont="1" applyFill="1" applyBorder="1" applyAlignment="1" applyProtection="1">
      <alignment horizontal="center"/>
    </xf>
    <xf numFmtId="0" fontId="8" fillId="0" borderId="4" xfId="0" applyFont="1" applyFill="1" applyBorder="1" applyAlignment="1" applyProtection="1"/>
    <xf numFmtId="0" fontId="8" fillId="0" borderId="2" xfId="0" applyFont="1" applyFill="1" applyBorder="1" applyAlignment="1" applyProtection="1">
      <alignment horizontal="center" wrapText="1"/>
    </xf>
    <xf numFmtId="0" fontId="10" fillId="0" borderId="11" xfId="3" applyFont="1" applyBorder="1"/>
    <xf numFmtId="0" fontId="14" fillId="0" borderId="11" xfId="3" applyFont="1" applyBorder="1" applyAlignment="1">
      <alignment horizontal="right" indent="1"/>
    </xf>
    <xf numFmtId="0" fontId="10" fillId="0" borderId="11" xfId="3" applyBorder="1"/>
    <xf numFmtId="0" fontId="10" fillId="0" borderId="11" xfId="3" applyFont="1" applyBorder="1" applyAlignment="1">
      <alignment horizontal="right" indent="1"/>
    </xf>
    <xf numFmtId="0" fontId="15" fillId="0" borderId="11" xfId="3" applyFont="1" applyBorder="1" applyAlignment="1">
      <alignment horizontal="right" indent="1"/>
    </xf>
    <xf numFmtId="0" fontId="16" fillId="0" borderId="11" xfId="3" applyFont="1" applyBorder="1" applyAlignment="1">
      <alignment horizontal="right" indent="1"/>
    </xf>
    <xf numFmtId="0" fontId="11" fillId="0" borderId="11" xfId="3" applyFont="1" applyBorder="1" applyAlignment="1">
      <alignment horizontal="left" indent="1"/>
    </xf>
    <xf numFmtId="0" fontId="17" fillId="3" borderId="11" xfId="4" applyFont="1" applyFill="1" applyBorder="1"/>
    <xf numFmtId="0" fontId="19" fillId="3" borderId="11" xfId="5" applyFont="1" applyFill="1" applyBorder="1"/>
    <xf numFmtId="0" fontId="20" fillId="3" borderId="11" xfId="5" applyFont="1" applyFill="1" applyBorder="1"/>
    <xf numFmtId="0" fontId="21" fillId="3" borderId="11" xfId="5" applyFont="1" applyFill="1" applyBorder="1"/>
    <xf numFmtId="0" fontId="23" fillId="4" borderId="0" xfId="0" applyFont="1" applyFill="1"/>
    <xf numFmtId="0" fontId="24" fillId="4" borderId="0" xfId="0" applyFont="1" applyFill="1" applyAlignment="1">
      <alignment vertical="center" wrapText="1"/>
    </xf>
    <xf numFmtId="0" fontId="18" fillId="0" borderId="0" xfId="0" applyFont="1"/>
    <xf numFmtId="0" fontId="26" fillId="0" borderId="0" xfId="0" applyFont="1" applyAlignment="1">
      <alignment wrapText="1"/>
    </xf>
    <xf numFmtId="0" fontId="18" fillId="0" borderId="0" xfId="0" applyFont="1" applyAlignment="1">
      <alignment wrapText="1"/>
    </xf>
    <xf numFmtId="0" fontId="18" fillId="0" borderId="0" xfId="0" applyFont="1" applyAlignment="1">
      <alignment horizontal="left" wrapText="1"/>
    </xf>
    <xf numFmtId="0" fontId="27" fillId="0" borderId="0" xfId="0" applyFont="1" applyAlignment="1">
      <alignment horizontal="left" wrapText="1"/>
    </xf>
    <xf numFmtId="0" fontId="27" fillId="0" borderId="0" xfId="0" applyFont="1"/>
    <xf numFmtId="0" fontId="18" fillId="0" borderId="0" xfId="0" applyFont="1" applyAlignment="1">
      <alignment horizontal="left" wrapText="1" indent="1"/>
    </xf>
    <xf numFmtId="0" fontId="28" fillId="0" borderId="0" xfId="2" applyFont="1" applyFill="1" applyBorder="1" applyAlignment="1">
      <alignment vertical="top"/>
    </xf>
    <xf numFmtId="0" fontId="29" fillId="0" borderId="0" xfId="2" applyFont="1" applyFill="1" applyBorder="1" applyAlignment="1">
      <alignment vertical="top"/>
    </xf>
    <xf numFmtId="0" fontId="29" fillId="0" borderId="0" xfId="2" applyFont="1" applyFill="1" applyBorder="1" applyAlignment="1">
      <alignment vertical="top" wrapText="1"/>
    </xf>
    <xf numFmtId="0" fontId="29" fillId="0" borderId="0" xfId="2" applyFont="1" applyBorder="1"/>
    <xf numFmtId="0" fontId="29" fillId="0" borderId="0" xfId="2" applyFont="1"/>
    <xf numFmtId="0" fontId="30" fillId="0" borderId="0" xfId="2" applyFont="1" applyBorder="1" applyAlignment="1">
      <alignment horizontal="center" vertical="center" wrapText="1"/>
    </xf>
    <xf numFmtId="0" fontId="29" fillId="0" borderId="0" xfId="2" applyFont="1" applyBorder="1" applyAlignment="1">
      <alignment horizontal="center" vertical="center" wrapText="1"/>
    </xf>
    <xf numFmtId="0" fontId="31" fillId="4" borderId="0" xfId="2" applyFont="1" applyFill="1" applyBorder="1" applyAlignment="1">
      <alignment vertical="top"/>
    </xf>
    <xf numFmtId="0" fontId="23" fillId="4" borderId="0" xfId="2" applyFont="1" applyFill="1" applyBorder="1" applyAlignment="1">
      <alignment vertical="top" wrapText="1"/>
    </xf>
    <xf numFmtId="0" fontId="32" fillId="0" borderId="0" xfId="2" applyFont="1" applyFill="1" applyBorder="1" applyAlignment="1">
      <alignment vertical="top"/>
    </xf>
    <xf numFmtId="0" fontId="29" fillId="0" borderId="0" xfId="2" applyFont="1" applyFill="1" applyBorder="1" applyAlignment="1">
      <alignment vertical="center" wrapText="1"/>
    </xf>
    <xf numFmtId="0" fontId="31" fillId="4" borderId="0" xfId="2" applyFont="1" applyFill="1" applyBorder="1" applyAlignment="1"/>
    <xf numFmtId="0" fontId="23" fillId="4" borderId="0" xfId="2" applyFont="1" applyFill="1" applyBorder="1" applyAlignment="1">
      <alignment vertical="center" wrapText="1"/>
    </xf>
    <xf numFmtId="0" fontId="32" fillId="0" borderId="0" xfId="2" applyFont="1" applyBorder="1" applyAlignment="1">
      <alignment vertical="top"/>
    </xf>
    <xf numFmtId="0" fontId="29" fillId="0" borderId="0" xfId="2" applyFont="1" applyBorder="1" applyAlignment="1">
      <alignment vertical="center" wrapText="1"/>
    </xf>
    <xf numFmtId="0" fontId="33" fillId="0" borderId="0" xfId="0" applyFont="1"/>
    <xf numFmtId="0" fontId="34" fillId="0" borderId="0" xfId="1" applyFont="1" applyAlignment="1" applyProtection="1"/>
    <xf numFmtId="0" fontId="35" fillId="0" borderId="0" xfId="0" applyFont="1"/>
    <xf numFmtId="0" fontId="35" fillId="0" borderId="0" xfId="0" applyFont="1" applyAlignment="1">
      <alignment horizontal="center"/>
    </xf>
    <xf numFmtId="49" fontId="18" fillId="0" borderId="0" xfId="0" applyNumberFormat="1" applyFont="1" applyAlignment="1">
      <alignment horizontal="center"/>
    </xf>
    <xf numFmtId="0" fontId="36" fillId="0" borderId="0" xfId="0" applyFont="1"/>
    <xf numFmtId="0" fontId="18" fillId="0" borderId="0" xfId="0" applyFont="1" applyAlignment="1">
      <alignment horizontal="center"/>
    </xf>
    <xf numFmtId="0" fontId="31" fillId="4" borderId="1" xfId="0" applyFont="1" applyFill="1" applyBorder="1" applyAlignment="1">
      <alignment horizontal="center" vertical="center" wrapText="1"/>
    </xf>
    <xf numFmtId="49" fontId="31" fillId="4" borderId="1" xfId="0" applyNumberFormat="1" applyFont="1" applyFill="1" applyBorder="1" applyAlignment="1">
      <alignment horizontal="center" vertical="center" wrapText="1"/>
    </xf>
    <xf numFmtId="49" fontId="31" fillId="4" borderId="6" xfId="0" applyNumberFormat="1" applyFont="1" applyFill="1" applyBorder="1" applyAlignment="1">
      <alignment horizontal="center" vertical="center" wrapText="1"/>
    </xf>
    <xf numFmtId="0" fontId="32" fillId="0" borderId="0" xfId="0" applyFont="1" applyAlignment="1">
      <alignment wrapText="1"/>
    </xf>
    <xf numFmtId="49" fontId="23" fillId="4" borderId="1" xfId="0" applyNumberFormat="1" applyFont="1" applyFill="1" applyBorder="1" applyAlignment="1">
      <alignment horizontal="left" vertical="top" wrapText="1" indent="1"/>
    </xf>
    <xf numFmtId="49" fontId="23" fillId="4" borderId="1" xfId="0" applyNumberFormat="1" applyFont="1" applyFill="1" applyBorder="1" applyAlignment="1">
      <alignment horizontal="center" vertical="top" wrapText="1"/>
    </xf>
    <xf numFmtId="0" fontId="23" fillId="4" borderId="7" xfId="0" applyNumberFormat="1" applyFont="1" applyFill="1" applyBorder="1" applyAlignment="1">
      <alignment horizontal="center" vertical="top" wrapText="1"/>
    </xf>
    <xf numFmtId="0" fontId="29" fillId="0" borderId="0" xfId="0" applyFont="1"/>
    <xf numFmtId="49" fontId="29" fillId="0" borderId="1" xfId="0" applyNumberFormat="1" applyFont="1" applyFill="1" applyBorder="1" applyAlignment="1">
      <alignment horizontal="left" vertical="top" wrapText="1" indent="1"/>
    </xf>
    <xf numFmtId="164" fontId="29" fillId="0" borderId="1" xfId="0" applyNumberFormat="1" applyFont="1" applyFill="1" applyBorder="1" applyAlignment="1">
      <alignment horizontal="center" vertical="top" wrapText="1"/>
    </xf>
    <xf numFmtId="49" fontId="23" fillId="4" borderId="5" xfId="0" applyNumberFormat="1" applyFont="1" applyFill="1" applyBorder="1" applyAlignment="1">
      <alignment horizontal="left" vertical="top" wrapText="1" indent="1"/>
    </xf>
    <xf numFmtId="49" fontId="23" fillId="4" borderId="8" xfId="0" applyNumberFormat="1" applyFont="1" applyFill="1" applyBorder="1" applyAlignment="1">
      <alignment horizontal="left" vertical="top" wrapText="1" indent="1"/>
    </xf>
    <xf numFmtId="49" fontId="23" fillId="4" borderId="7" xfId="0" applyNumberFormat="1" applyFont="1" applyFill="1" applyBorder="1" applyAlignment="1">
      <alignment horizontal="center" vertical="top" wrapText="1"/>
    </xf>
    <xf numFmtId="0" fontId="18" fillId="0" borderId="0" xfId="0" applyFont="1" applyFill="1"/>
    <xf numFmtId="49" fontId="23" fillId="4" borderId="9" xfId="0" applyNumberFormat="1" applyFont="1" applyFill="1" applyBorder="1" applyAlignment="1">
      <alignment horizontal="left" vertical="top" wrapText="1" indent="1"/>
    </xf>
    <xf numFmtId="49" fontId="23" fillId="4" borderId="9" xfId="0" applyNumberFormat="1" applyFont="1" applyFill="1" applyBorder="1" applyAlignment="1">
      <alignment horizontal="right" vertical="top" wrapText="1" indent="1"/>
    </xf>
    <xf numFmtId="2" fontId="29" fillId="0" borderId="1" xfId="0" applyNumberFormat="1" applyFont="1" applyFill="1" applyBorder="1" applyAlignment="1">
      <alignment horizontal="center" vertical="top" wrapText="1"/>
    </xf>
    <xf numFmtId="49" fontId="23" fillId="4" borderId="10" xfId="0" applyNumberFormat="1" applyFont="1" applyFill="1" applyBorder="1" applyAlignment="1">
      <alignment horizontal="center" vertical="top" wrapText="1"/>
    </xf>
    <xf numFmtId="0" fontId="37" fillId="0" borderId="0" xfId="0" applyFont="1" applyAlignment="1">
      <alignment horizontal="center"/>
    </xf>
    <xf numFmtId="0" fontId="37" fillId="0" borderId="0" xfId="0" applyFont="1" applyFill="1" applyAlignment="1">
      <alignment horizontal="center"/>
    </xf>
    <xf numFmtId="0" fontId="37" fillId="0" borderId="0" xfId="0" applyFont="1"/>
    <xf numFmtId="0" fontId="18" fillId="0" borderId="0" xfId="0" applyFont="1" applyFill="1" applyAlignment="1">
      <alignment horizontal="center"/>
    </xf>
    <xf numFmtId="0" fontId="25" fillId="4" borderId="1" xfId="0" applyFont="1" applyFill="1" applyBorder="1" applyAlignment="1" applyProtection="1">
      <alignment horizontal="center"/>
    </xf>
    <xf numFmtId="0" fontId="25" fillId="4" borderId="1" xfId="0" applyFont="1" applyFill="1" applyBorder="1" applyAlignment="1" applyProtection="1">
      <alignment horizontal="center" wrapText="1"/>
    </xf>
    <xf numFmtId="0" fontId="25" fillId="4" borderId="5" xfId="0" applyFont="1" applyFill="1" applyBorder="1" applyAlignment="1" applyProtection="1">
      <alignment horizontal="center"/>
    </xf>
    <xf numFmtId="0" fontId="27" fillId="0" borderId="0" xfId="0" applyFont="1" applyFill="1" applyAlignment="1">
      <alignment horizontal="center"/>
    </xf>
    <xf numFmtId="0" fontId="18" fillId="0" borderId="1" xfId="0" applyFont="1" applyBorder="1" applyProtection="1">
      <protection locked="0"/>
    </xf>
    <xf numFmtId="0" fontId="18" fillId="0" borderId="1" xfId="0" applyFont="1" applyBorder="1" applyAlignment="1" applyProtection="1">
      <alignment wrapText="1"/>
      <protection locked="0"/>
    </xf>
    <xf numFmtId="1" fontId="18" fillId="0" borderId="1" xfId="0" applyNumberFormat="1" applyFont="1" applyBorder="1" applyAlignment="1">
      <alignment horizontal="center" wrapText="1"/>
    </xf>
    <xf numFmtId="0" fontId="18" fillId="0" borderId="1" xfId="0" applyFont="1" applyBorder="1" applyAlignment="1">
      <alignment wrapText="1"/>
    </xf>
    <xf numFmtId="0" fontId="18" fillId="0" borderId="1" xfId="0" applyFont="1" applyBorder="1"/>
    <xf numFmtId="0" fontId="18" fillId="0" borderId="0" xfId="0" applyFont="1" applyProtection="1">
      <protection locked="0"/>
    </xf>
    <xf numFmtId="0" fontId="18" fillId="0" borderId="0" xfId="0" applyFont="1" applyAlignment="1" applyProtection="1">
      <alignment wrapText="1"/>
      <protection locked="0"/>
    </xf>
    <xf numFmtId="0" fontId="25" fillId="4" borderId="1" xfId="0" applyFont="1" applyFill="1" applyBorder="1" applyProtection="1"/>
    <xf numFmtId="0" fontId="25" fillId="4" borderId="1" xfId="0" applyFont="1" applyFill="1" applyBorder="1" applyAlignment="1" applyProtection="1">
      <alignment wrapText="1"/>
    </xf>
    <xf numFmtId="0" fontId="25" fillId="4" borderId="5" xfId="0" applyFont="1" applyFill="1" applyBorder="1" applyProtection="1"/>
    <xf numFmtId="1" fontId="18" fillId="0" borderId="1" xfId="0" applyNumberFormat="1" applyFont="1" applyBorder="1"/>
    <xf numFmtId="1" fontId="18" fillId="0" borderId="1" xfId="0" applyNumberFormat="1" applyFont="1" applyBorder="1" applyProtection="1">
      <protection locked="0"/>
    </xf>
    <xf numFmtId="1" fontId="27" fillId="0" borderId="1" xfId="0" applyNumberFormat="1" applyFont="1" applyBorder="1" applyProtection="1">
      <protection locked="0"/>
    </xf>
    <xf numFmtId="1" fontId="27" fillId="0" borderId="0" xfId="0" applyNumberFormat="1" applyFont="1" applyBorder="1" applyProtection="1">
      <protection locked="0"/>
    </xf>
    <xf numFmtId="0" fontId="31" fillId="4" borderId="1" xfId="0" applyFont="1" applyFill="1" applyBorder="1" applyAlignment="1">
      <alignment horizontal="center" wrapText="1"/>
    </xf>
    <xf numFmtId="0" fontId="31" fillId="4" borderId="1" xfId="0" applyFont="1" applyFill="1" applyBorder="1" applyAlignment="1">
      <alignment horizontal="center"/>
    </xf>
    <xf numFmtId="49" fontId="18" fillId="2" borderId="1" xfId="0" applyNumberFormat="1" applyFont="1" applyFill="1" applyBorder="1" applyAlignment="1">
      <alignment horizontal="center"/>
    </xf>
    <xf numFmtId="0" fontId="29" fillId="0" borderId="1" xfId="0" applyFont="1" applyFill="1" applyBorder="1" applyAlignment="1">
      <alignment horizontal="center"/>
    </xf>
    <xf numFmtId="0" fontId="18" fillId="2" borderId="1" xfId="0" applyNumberFormat="1" applyFont="1" applyFill="1" applyBorder="1" applyAlignment="1">
      <alignment horizontal="center"/>
    </xf>
    <xf numFmtId="0" fontId="18" fillId="0" borderId="0" xfId="0" applyFont="1" applyFill="1" applyBorder="1"/>
    <xf numFmtId="0" fontId="39" fillId="0" borderId="0" xfId="0" applyFont="1" applyFill="1" applyAlignment="1">
      <alignment horizontal="center"/>
    </xf>
    <xf numFmtId="0" fontId="29" fillId="0" borderId="0" xfId="0" applyFont="1" applyFill="1" applyBorder="1" applyAlignment="1">
      <alignment horizontal="center"/>
    </xf>
    <xf numFmtId="49" fontId="18" fillId="0" borderId="0" xfId="0" applyNumberFormat="1" applyFont="1" applyBorder="1"/>
    <xf numFmtId="0" fontId="18" fillId="0" borderId="0" xfId="0" applyFont="1" applyBorder="1"/>
    <xf numFmtId="49" fontId="18" fillId="0" borderId="0" xfId="0" applyNumberFormat="1" applyFont="1"/>
    <xf numFmtId="0" fontId="40" fillId="4" borderId="0" xfId="0" applyFont="1" applyFill="1" applyAlignment="1" applyProtection="1">
      <alignment vertical="center"/>
      <protection locked="0"/>
    </xf>
    <xf numFmtId="0" fontId="41" fillId="4" borderId="0" xfId="0" applyFont="1" applyFill="1" applyAlignment="1" applyProtection="1">
      <alignment vertical="top" wrapText="1"/>
      <protection locked="0"/>
    </xf>
    <xf numFmtId="0" fontId="42" fillId="0" borderId="0" xfId="0" applyFont="1" applyAlignment="1" applyProtection="1">
      <alignment vertical="top" wrapText="1"/>
      <protection locked="0"/>
    </xf>
    <xf numFmtId="0" fontId="43" fillId="0" borderId="0" xfId="0" applyFont="1" applyAlignment="1" applyProtection="1">
      <alignment vertical="top" wrapText="1"/>
      <protection locked="0"/>
    </xf>
    <xf numFmtId="0" fontId="29" fillId="0" borderId="0" xfId="0" applyFont="1" applyAlignment="1" applyProtection="1">
      <alignment vertical="top" wrapText="1"/>
      <protection locked="0"/>
    </xf>
    <xf numFmtId="0" fontId="30" fillId="0" borderId="0" xfId="0" applyFont="1" applyAlignment="1" applyProtection="1">
      <alignment vertical="top" wrapText="1"/>
      <protection locked="0"/>
    </xf>
    <xf numFmtId="0" fontId="29" fillId="0" borderId="0" xfId="0" applyFont="1" applyAlignment="1" applyProtection="1">
      <alignment horizontal="left" vertical="top" wrapText="1"/>
      <protection locked="0"/>
    </xf>
    <xf numFmtId="0" fontId="44" fillId="0" borderId="11" xfId="5" applyFont="1" applyBorder="1"/>
    <xf numFmtId="0" fontId="29" fillId="0" borderId="11" xfId="9" applyFont="1" applyBorder="1"/>
    <xf numFmtId="0" fontId="29" fillId="0" borderId="11" xfId="3" applyFont="1" applyBorder="1"/>
    <xf numFmtId="0" fontId="32" fillId="0" borderId="11" xfId="10" applyFont="1" applyBorder="1"/>
    <xf numFmtId="0" fontId="29" fillId="0" borderId="11" xfId="10" applyFont="1" applyBorder="1"/>
    <xf numFmtId="0" fontId="45" fillId="4" borderId="12" xfId="9" applyFont="1" applyFill="1" applyBorder="1" applyAlignment="1">
      <alignment horizontal="center" vertical="center" wrapText="1"/>
    </xf>
    <xf numFmtId="0" fontId="45" fillId="4" borderId="13" xfId="9" applyFont="1" applyFill="1" applyBorder="1" applyAlignment="1">
      <alignment horizontal="center" vertical="center" wrapText="1"/>
    </xf>
    <xf numFmtId="0" fontId="45" fillId="4" borderId="14" xfId="9" applyFont="1" applyFill="1" applyBorder="1" applyAlignment="1">
      <alignment horizontal="center" vertical="center" wrapText="1"/>
    </xf>
    <xf numFmtId="0" fontId="46" fillId="5" borderId="15" xfId="9" applyFont="1" applyFill="1" applyBorder="1" applyAlignment="1">
      <alignment vertical="center" wrapText="1"/>
    </xf>
    <xf numFmtId="0" fontId="46" fillId="5" borderId="16" xfId="9" applyFont="1" applyFill="1" applyBorder="1" applyAlignment="1">
      <alignment vertical="center" wrapText="1"/>
    </xf>
    <xf numFmtId="0" fontId="46" fillId="5" borderId="17" xfId="9" applyFont="1" applyFill="1" applyBorder="1" applyAlignment="1">
      <alignment vertical="center" wrapText="1"/>
    </xf>
    <xf numFmtId="0" fontId="48" fillId="0" borderId="15" xfId="9" applyFont="1" applyBorder="1" applyAlignment="1">
      <alignment vertical="center" wrapText="1"/>
    </xf>
    <xf numFmtId="0" fontId="47" fillId="0" borderId="16" xfId="9" applyFont="1" applyBorder="1" applyAlignment="1">
      <alignment vertical="center" wrapText="1"/>
    </xf>
    <xf numFmtId="0" fontId="47" fillId="0" borderId="17" xfId="9" applyFont="1" applyBorder="1" applyAlignment="1">
      <alignment vertical="center" wrapText="1"/>
    </xf>
    <xf numFmtId="0" fontId="47" fillId="0" borderId="15" xfId="9" applyFont="1" applyBorder="1" applyAlignment="1">
      <alignment vertical="center" wrapText="1"/>
    </xf>
    <xf numFmtId="0" fontId="48" fillId="5" borderId="15" xfId="9" applyFont="1" applyFill="1" applyBorder="1" applyAlignment="1">
      <alignment vertical="center" wrapText="1"/>
    </xf>
    <xf numFmtId="0" fontId="47" fillId="5" borderId="16" xfId="9" applyFont="1" applyFill="1" applyBorder="1" applyAlignment="1">
      <alignment vertical="center" wrapText="1"/>
    </xf>
    <xf numFmtId="0" fontId="47" fillId="5" borderId="17" xfId="9" applyFont="1" applyFill="1" applyBorder="1" applyAlignment="1">
      <alignment vertical="center" wrapText="1"/>
    </xf>
    <xf numFmtId="0" fontId="47" fillId="5" borderId="15" xfId="9" applyFont="1" applyFill="1" applyBorder="1" applyAlignment="1">
      <alignment vertical="center" wrapText="1"/>
    </xf>
    <xf numFmtId="0" fontId="49" fillId="0" borderId="11" xfId="3" applyFont="1" applyBorder="1"/>
    <xf numFmtId="0" fontId="48" fillId="0" borderId="11" xfId="9" applyFont="1" applyBorder="1" applyAlignment="1">
      <alignment vertical="center" wrapText="1"/>
    </xf>
    <xf numFmtId="0" fontId="47" fillId="0" borderId="11" xfId="9" applyFont="1" applyBorder="1" applyAlignment="1">
      <alignment vertical="center" wrapText="1"/>
    </xf>
    <xf numFmtId="0" fontId="23" fillId="7" borderId="7" xfId="0" applyNumberFormat="1" applyFont="1" applyFill="1" applyBorder="1" applyAlignment="1">
      <alignment horizontal="center" vertical="top" wrapText="1"/>
    </xf>
    <xf numFmtId="0" fontId="51" fillId="7" borderId="7" xfId="0" applyNumberFormat="1" applyFont="1" applyFill="1" applyBorder="1" applyAlignment="1">
      <alignment horizontal="center" vertical="top" wrapText="1"/>
    </xf>
    <xf numFmtId="0" fontId="54" fillId="9" borderId="21" xfId="13" applyFont="1" applyFill="1" applyBorder="1" applyAlignment="1">
      <alignment horizontal="center" vertical="center"/>
    </xf>
    <xf numFmtId="0" fontId="54" fillId="9" borderId="22" xfId="13" applyFont="1" applyFill="1" applyBorder="1" applyAlignment="1">
      <alignment horizontal="center" vertical="center"/>
    </xf>
    <xf numFmtId="0" fontId="54" fillId="9" borderId="23" xfId="13" applyFont="1" applyFill="1" applyBorder="1" applyAlignment="1">
      <alignment horizontal="center" vertical="center"/>
    </xf>
    <xf numFmtId="0" fontId="54" fillId="9" borderId="1" xfId="13" applyFont="1" applyFill="1" applyBorder="1" applyAlignment="1">
      <alignment horizontal="center" vertical="center"/>
    </xf>
    <xf numFmtId="0" fontId="7" fillId="0" borderId="0" xfId="13"/>
    <xf numFmtId="0" fontId="55" fillId="0" borderId="1" xfId="13" applyFont="1" applyBorder="1" applyAlignment="1">
      <alignment vertical="center"/>
    </xf>
    <xf numFmtId="0" fontId="56" fillId="0" borderId="1" xfId="13" applyFont="1" applyBorder="1" applyAlignment="1">
      <alignment horizontal="center" vertical="center" readingOrder="1"/>
    </xf>
    <xf numFmtId="0" fontId="57" fillId="0" borderId="1" xfId="13" applyFont="1" applyBorder="1"/>
    <xf numFmtId="0" fontId="7" fillId="0" borderId="1" xfId="13" applyBorder="1" applyAlignment="1">
      <alignment vertical="center"/>
    </xf>
    <xf numFmtId="0" fontId="7" fillId="0" borderId="1" xfId="13" applyBorder="1"/>
    <xf numFmtId="0" fontId="57" fillId="0" borderId="1" xfId="13" applyFont="1" applyBorder="1" applyAlignment="1">
      <alignment horizontal="left" vertical="center" indent="1" readingOrder="1"/>
    </xf>
    <xf numFmtId="0" fontId="57" fillId="0" borderId="1" xfId="13" applyFont="1" applyBorder="1" applyAlignment="1">
      <alignment horizontal="center" vertical="center"/>
    </xf>
    <xf numFmtId="0" fontId="57" fillId="0" borderId="1" xfId="13" applyFont="1" applyBorder="1" applyAlignment="1">
      <alignment vertical="center" wrapText="1"/>
    </xf>
    <xf numFmtId="0" fontId="57" fillId="0" borderId="1" xfId="13" applyFont="1" applyBorder="1" applyAlignment="1">
      <alignment horizontal="center"/>
    </xf>
    <xf numFmtId="0" fontId="57" fillId="10" borderId="1" xfId="13" applyFont="1" applyFill="1" applyBorder="1" applyAlignment="1">
      <alignment horizontal="left" vertical="center" wrapText="1" readingOrder="1"/>
    </xf>
    <xf numFmtId="0" fontId="57" fillId="10" borderId="1" xfId="13" applyFont="1" applyFill="1" applyBorder="1" applyAlignment="1">
      <alignment vertical="center" wrapText="1"/>
    </xf>
    <xf numFmtId="0" fontId="59" fillId="10" borderId="1" xfId="13" applyFont="1" applyFill="1" applyBorder="1" applyAlignment="1">
      <alignment horizontal="center" vertical="center" wrapText="1"/>
    </xf>
    <xf numFmtId="0" fontId="7" fillId="11" borderId="1" xfId="13" applyFill="1" applyBorder="1" applyAlignment="1">
      <alignment vertical="center" wrapText="1"/>
    </xf>
    <xf numFmtId="0" fontId="7" fillId="0" borderId="0" xfId="13" applyAlignment="1">
      <alignment vertical="center" wrapText="1"/>
    </xf>
    <xf numFmtId="0" fontId="56" fillId="0" borderId="1" xfId="13" applyFont="1" applyBorder="1" applyAlignment="1">
      <alignment horizontal="left" vertical="center" readingOrder="1"/>
    </xf>
    <xf numFmtId="0" fontId="7" fillId="0" borderId="1" xfId="13" applyBorder="1" applyAlignment="1">
      <alignment vertical="center" wrapText="1"/>
    </xf>
    <xf numFmtId="0" fontId="57" fillId="10" borderId="0" xfId="13" applyFont="1" applyFill="1" applyBorder="1" applyAlignment="1">
      <alignment horizontal="left" vertical="center" wrapText="1" readingOrder="1"/>
    </xf>
    <xf numFmtId="0" fontId="55" fillId="0" borderId="1" xfId="13" applyFont="1" applyFill="1" applyBorder="1" applyAlignment="1">
      <alignment vertical="center"/>
    </xf>
    <xf numFmtId="0" fontId="56" fillId="0" borderId="1" xfId="13" applyFont="1" applyFill="1" applyBorder="1" applyAlignment="1">
      <alignment horizontal="left" vertical="center" readingOrder="1"/>
    </xf>
    <xf numFmtId="0" fontId="57" fillId="0" borderId="1" xfId="13" applyFont="1" applyFill="1" applyBorder="1" applyAlignment="1">
      <alignment vertical="center" wrapText="1"/>
    </xf>
    <xf numFmtId="0" fontId="59" fillId="0" borderId="1" xfId="13" applyFont="1" applyFill="1" applyBorder="1" applyAlignment="1">
      <alignment horizontal="center" vertical="center" wrapText="1"/>
    </xf>
    <xf numFmtId="0" fontId="7" fillId="0" borderId="1" xfId="13" applyFill="1" applyBorder="1" applyAlignment="1">
      <alignment vertical="center" wrapText="1"/>
    </xf>
    <xf numFmtId="14" fontId="57" fillId="0" borderId="1" xfId="13" applyNumberFormat="1" applyFont="1" applyFill="1" applyBorder="1" applyAlignment="1">
      <alignment vertical="center" wrapText="1"/>
    </xf>
    <xf numFmtId="0" fontId="61" fillId="0" borderId="1" xfId="13" applyFont="1" applyBorder="1" applyAlignment="1">
      <alignment vertical="center"/>
    </xf>
    <xf numFmtId="0" fontId="57" fillId="0" borderId="1" xfId="13" applyFont="1" applyBorder="1" applyAlignment="1">
      <alignment vertical="center"/>
    </xf>
    <xf numFmtId="0" fontId="60" fillId="10" borderId="1" xfId="13" applyFont="1" applyFill="1" applyBorder="1" applyAlignment="1">
      <alignment horizontal="center" vertical="center" readingOrder="1"/>
    </xf>
    <xf numFmtId="0" fontId="7" fillId="10" borderId="1" xfId="13" applyFill="1" applyBorder="1" applyAlignment="1">
      <alignment vertical="center"/>
    </xf>
    <xf numFmtId="0" fontId="57" fillId="0" borderId="24" xfId="13" applyFont="1" applyBorder="1" applyAlignment="1">
      <alignment vertical="center"/>
    </xf>
    <xf numFmtId="0" fontId="56" fillId="0" borderId="1" xfId="13" applyFont="1" applyBorder="1" applyAlignment="1">
      <alignment horizontal="center"/>
    </xf>
    <xf numFmtId="0" fontId="62" fillId="0" borderId="1" xfId="13" applyFont="1" applyBorder="1" applyAlignment="1">
      <alignment vertical="center" textRotation="90"/>
    </xf>
    <xf numFmtId="0" fontId="63" fillId="0" borderId="0" xfId="13" applyFont="1"/>
    <xf numFmtId="14" fontId="63" fillId="0" borderId="0" xfId="13" applyNumberFormat="1" applyFont="1"/>
    <xf numFmtId="14" fontId="7" fillId="0" borderId="0" xfId="13" applyNumberFormat="1"/>
    <xf numFmtId="0" fontId="7" fillId="0" borderId="0" xfId="13" applyAlignment="1">
      <alignment vertical="center"/>
    </xf>
    <xf numFmtId="9" fontId="0" fillId="0" borderId="0" xfId="14" applyFont="1"/>
    <xf numFmtId="9" fontId="7" fillId="0" borderId="0" xfId="13" applyNumberFormat="1"/>
    <xf numFmtId="166" fontId="7" fillId="0" borderId="0" xfId="13" applyNumberFormat="1"/>
    <xf numFmtId="14" fontId="46" fillId="5" borderId="15" xfId="9" applyNumberFormat="1" applyFont="1" applyFill="1" applyBorder="1" applyAlignment="1">
      <alignment vertical="center" wrapText="1"/>
    </xf>
    <xf numFmtId="14" fontId="6" fillId="0" borderId="0" xfId="13" applyNumberFormat="1" applyFont="1"/>
    <xf numFmtId="0" fontId="18" fillId="0" borderId="0" xfId="0" applyNumberFormat="1" applyFont="1"/>
    <xf numFmtId="0" fontId="7" fillId="0" borderId="0" xfId="13" applyNumberFormat="1"/>
    <xf numFmtId="0" fontId="7" fillId="12" borderId="0" xfId="13" applyFill="1"/>
    <xf numFmtId="0" fontId="0" fillId="12" borderId="0" xfId="0" applyFill="1"/>
    <xf numFmtId="14" fontId="5" fillId="0" borderId="0" xfId="13" applyNumberFormat="1" applyFont="1"/>
    <xf numFmtId="0" fontId="64" fillId="0" borderId="1" xfId="13" applyFont="1" applyFill="1" applyBorder="1" applyAlignment="1">
      <alignment vertical="center" wrapText="1"/>
    </xf>
    <xf numFmtId="0" fontId="53" fillId="13" borderId="0" xfId="13" applyFont="1" applyFill="1"/>
    <xf numFmtId="0" fontId="7" fillId="14" borderId="25" xfId="13" applyFill="1" applyBorder="1"/>
    <xf numFmtId="14" fontId="48" fillId="0" borderId="15" xfId="9" applyNumberFormat="1" applyFont="1" applyBorder="1" applyAlignment="1">
      <alignment vertical="center" wrapText="1"/>
    </xf>
    <xf numFmtId="14" fontId="7" fillId="0" borderId="26" xfId="13" applyNumberFormat="1" applyBorder="1"/>
    <xf numFmtId="0" fontId="7" fillId="7" borderId="26" xfId="13" applyFill="1" applyBorder="1"/>
    <xf numFmtId="0" fontId="6" fillId="7" borderId="26" xfId="13" applyFont="1" applyFill="1" applyBorder="1"/>
    <xf numFmtId="0" fontId="7" fillId="0" borderId="26" xfId="13" applyBorder="1"/>
    <xf numFmtId="0" fontId="5" fillId="14" borderId="25" xfId="13" applyFont="1" applyFill="1" applyBorder="1"/>
    <xf numFmtId="0" fontId="18" fillId="0" borderId="0" xfId="0" applyFont="1" applyAlignment="1">
      <alignment vertical="top"/>
    </xf>
    <xf numFmtId="14" fontId="68" fillId="0" borderId="0" xfId="13" applyNumberFormat="1" applyFont="1"/>
    <xf numFmtId="44" fontId="68" fillId="0" borderId="0" xfId="15" applyFont="1"/>
    <xf numFmtId="167" fontId="68" fillId="0" borderId="0" xfId="15" applyNumberFormat="1" applyFont="1"/>
    <xf numFmtId="0" fontId="18" fillId="15" borderId="1" xfId="0" applyFont="1" applyFill="1" applyBorder="1" applyAlignment="1" applyProtection="1">
      <alignment vertical="top"/>
      <protection locked="0"/>
    </xf>
    <xf numFmtId="0" fontId="18" fillId="15" borderId="1" xfId="0" applyFont="1" applyFill="1" applyBorder="1" applyAlignment="1" applyProtection="1">
      <alignment vertical="top" wrapText="1"/>
      <protection locked="0"/>
    </xf>
    <xf numFmtId="1" fontId="18" fillId="15" borderId="1" xfId="0" applyNumberFormat="1" applyFont="1" applyFill="1" applyBorder="1" applyAlignment="1">
      <alignment horizontal="center" vertical="top" wrapText="1"/>
    </xf>
    <xf numFmtId="0" fontId="18" fillId="15" borderId="1" xfId="0" applyFont="1" applyFill="1" applyBorder="1" applyAlignment="1">
      <alignment vertical="top" wrapText="1"/>
    </xf>
    <xf numFmtId="0" fontId="18" fillId="15" borderId="1" xfId="0" applyFont="1" applyFill="1" applyBorder="1" applyAlignment="1">
      <alignment horizontal="left" vertical="top" wrapText="1"/>
    </xf>
    <xf numFmtId="0" fontId="18" fillId="15" borderId="1" xfId="0" applyFont="1" applyFill="1" applyBorder="1" applyProtection="1">
      <protection locked="0"/>
    </xf>
    <xf numFmtId="0" fontId="18" fillId="15" borderId="1" xfId="0" applyFont="1" applyFill="1" applyBorder="1" applyAlignment="1" applyProtection="1">
      <alignment wrapText="1"/>
      <protection locked="0"/>
    </xf>
    <xf numFmtId="1" fontId="18" fillId="15" borderId="1" xfId="0" applyNumberFormat="1" applyFont="1" applyFill="1" applyBorder="1" applyAlignment="1">
      <alignment horizontal="center" wrapText="1"/>
    </xf>
    <xf numFmtId="0" fontId="18" fillId="15" borderId="1" xfId="0" applyFont="1" applyFill="1" applyBorder="1" applyAlignment="1">
      <alignment wrapText="1"/>
    </xf>
    <xf numFmtId="0" fontId="29" fillId="0" borderId="1" xfId="0" applyNumberFormat="1" applyFont="1" applyFill="1" applyBorder="1" applyAlignment="1">
      <alignment horizontal="left" vertical="top" wrapText="1" indent="1"/>
    </xf>
    <xf numFmtId="0" fontId="7" fillId="16" borderId="0" xfId="13" applyFill="1"/>
    <xf numFmtId="165" fontId="7" fillId="16" borderId="0" xfId="13" applyNumberFormat="1" applyFill="1"/>
    <xf numFmtId="0" fontId="3" fillId="14" borderId="25" xfId="13" applyFont="1" applyFill="1" applyBorder="1"/>
    <xf numFmtId="0" fontId="2" fillId="17" borderId="25" xfId="13" applyFont="1" applyFill="1" applyBorder="1"/>
    <xf numFmtId="0" fontId="18" fillId="15" borderId="1" xfId="0" quotePrefix="1" applyFont="1" applyFill="1" applyBorder="1" applyAlignment="1" applyProtection="1">
      <alignment vertical="top"/>
      <protection locked="0"/>
    </xf>
    <xf numFmtId="0" fontId="0" fillId="0" borderId="0" xfId="0" applyNumberFormat="1"/>
    <xf numFmtId="0" fontId="1" fillId="15" borderId="1" xfId="13" applyFont="1" applyFill="1" applyBorder="1" applyAlignment="1">
      <alignment vertical="top" wrapText="1"/>
    </xf>
    <xf numFmtId="0" fontId="18" fillId="0" borderId="5" xfId="0" applyFont="1" applyFill="1" applyBorder="1" applyAlignment="1" applyProtection="1">
      <alignment wrapText="1"/>
      <protection locked="0"/>
    </xf>
    <xf numFmtId="0" fontId="18" fillId="0" borderId="5" xfId="0" applyFont="1" applyFill="1" applyBorder="1" applyProtection="1">
      <protection locked="0"/>
    </xf>
    <xf numFmtId="0" fontId="18" fillId="0" borderId="27" xfId="0" applyFont="1" applyFill="1" applyBorder="1" applyAlignment="1" applyProtection="1">
      <alignment wrapText="1"/>
      <protection locked="0"/>
    </xf>
    <xf numFmtId="1" fontId="18" fillId="0" borderId="5" xfId="0" applyNumberFormat="1" applyFont="1" applyFill="1" applyBorder="1"/>
    <xf numFmtId="1" fontId="18" fillId="0" borderId="5" xfId="0" applyNumberFormat="1" applyFont="1" applyFill="1" applyBorder="1" applyProtection="1">
      <protection locked="0"/>
    </xf>
    <xf numFmtId="0" fontId="25" fillId="4" borderId="5" xfId="0" applyFont="1" applyFill="1" applyBorder="1" applyAlignment="1" applyProtection="1">
      <alignment horizontal="center" wrapText="1"/>
    </xf>
    <xf numFmtId="1" fontId="18" fillId="0" borderId="0" xfId="0" applyNumberFormat="1" applyFont="1" applyFill="1" applyBorder="1" applyProtection="1">
      <protection locked="0"/>
    </xf>
    <xf numFmtId="1" fontId="25" fillId="4" borderId="1" xfId="0" applyNumberFormat="1" applyFont="1" applyFill="1" applyBorder="1" applyProtection="1"/>
    <xf numFmtId="0" fontId="11" fillId="0" borderId="11" xfId="3" applyFont="1" applyBorder="1" applyAlignment="1">
      <alignment horizontal="left" wrapText="1"/>
    </xf>
    <xf numFmtId="0" fontId="24" fillId="4" borderId="0" xfId="2" applyFont="1" applyFill="1" applyBorder="1" applyAlignment="1">
      <alignment horizontal="center" vertical="center" wrapText="1"/>
    </xf>
    <xf numFmtId="0" fontId="23" fillId="4" borderId="0" xfId="2" applyFont="1" applyFill="1" applyBorder="1" applyAlignment="1">
      <alignment horizontal="center" vertical="center" wrapText="1"/>
    </xf>
    <xf numFmtId="0" fontId="60" fillId="10" borderId="1" xfId="13" applyFont="1" applyFill="1" applyBorder="1" applyAlignment="1">
      <alignment horizontal="center" vertical="center" readingOrder="1"/>
    </xf>
    <xf numFmtId="0" fontId="60" fillId="10" borderId="1" xfId="13" applyFont="1" applyFill="1" applyBorder="1" applyAlignment="1">
      <alignment horizontal="left" vertical="center" readingOrder="1"/>
    </xf>
    <xf numFmtId="0" fontId="53" fillId="8" borderId="26" xfId="12" applyBorder="1" applyAlignment="1">
      <alignment horizontal="center"/>
    </xf>
    <xf numFmtId="0" fontId="6" fillId="0" borderId="0" xfId="13" applyFont="1" applyAlignment="1">
      <alignment horizontal="center"/>
    </xf>
    <xf numFmtId="0" fontId="7" fillId="0" borderId="0" xfId="13" applyAlignment="1">
      <alignment horizontal="center"/>
    </xf>
    <xf numFmtId="0" fontId="4" fillId="12" borderId="0" xfId="13" applyFont="1" applyFill="1" applyAlignment="1">
      <alignment horizontal="center"/>
    </xf>
    <xf numFmtId="0" fontId="7" fillId="12" borderId="0" xfId="13" applyFill="1" applyAlignment="1">
      <alignment horizontal="center"/>
    </xf>
    <xf numFmtId="0" fontId="25" fillId="4" borderId="0" xfId="0" applyFont="1" applyFill="1" applyAlignment="1">
      <alignment wrapText="1"/>
    </xf>
    <xf numFmtId="0" fontId="23" fillId="4" borderId="0" xfId="0" applyFont="1" applyFill="1" applyAlignment="1">
      <alignment wrapText="1"/>
    </xf>
    <xf numFmtId="0" fontId="31" fillId="4" borderId="0" xfId="0" applyFont="1" applyFill="1" applyAlignment="1">
      <alignment wrapText="1"/>
    </xf>
    <xf numFmtId="0" fontId="23" fillId="4" borderId="0" xfId="0" applyFont="1" applyFill="1" applyAlignment="1"/>
    <xf numFmtId="0" fontId="25" fillId="4" borderId="2" xfId="0" applyFont="1" applyFill="1" applyBorder="1" applyAlignment="1"/>
    <xf numFmtId="0" fontId="23" fillId="4" borderId="2" xfId="0" applyFont="1" applyFill="1" applyBorder="1" applyAlignment="1"/>
    <xf numFmtId="0" fontId="25" fillId="4" borderId="0" xfId="0" applyFont="1" applyFill="1" applyBorder="1" applyAlignment="1">
      <alignment wrapText="1"/>
    </xf>
    <xf numFmtId="0" fontId="38" fillId="4" borderId="0" xfId="0" applyFont="1" applyFill="1" applyBorder="1" applyAlignment="1"/>
    <xf numFmtId="0" fontId="50" fillId="6" borderId="18" xfId="5" applyFont="1" applyFill="1" applyBorder="1" applyAlignment="1">
      <alignment horizontal="left" vertical="center" wrapText="1"/>
    </xf>
    <xf numFmtId="0" fontId="50" fillId="6" borderId="19" xfId="5" applyFont="1" applyFill="1" applyBorder="1" applyAlignment="1">
      <alignment horizontal="left" vertical="center" wrapText="1"/>
    </xf>
    <xf numFmtId="0" fontId="50" fillId="6" borderId="20" xfId="5" applyFont="1" applyFill="1" applyBorder="1" applyAlignment="1">
      <alignment horizontal="left" vertical="center" wrapText="1"/>
    </xf>
  </cellXfs>
  <cellStyles count="16">
    <cellStyle name="%" xfId="6" xr:uid="{00000000-0005-0000-0000-000000000000}"/>
    <cellStyle name="Accent6" xfId="12" builtinId="49"/>
    <cellStyle name="Cancel" xfId="7" xr:uid="{00000000-0005-0000-0000-000001000000}"/>
    <cellStyle name="Currency" xfId="15" builtinId="4"/>
    <cellStyle name="Hyperlink" xfId="1" builtinId="8"/>
    <cellStyle name="Normal" xfId="0" builtinId="0"/>
    <cellStyle name="Normal 2" xfId="8" xr:uid="{00000000-0005-0000-0000-000004000000}"/>
    <cellStyle name="Normal 2 2" xfId="5" xr:uid="{00000000-0005-0000-0000-000005000000}"/>
    <cellStyle name="Normal 3" xfId="3" xr:uid="{00000000-0005-0000-0000-000006000000}"/>
    <cellStyle name="Normal 3 2" xfId="9" xr:uid="{00000000-0005-0000-0000-000007000000}"/>
    <cellStyle name="Normal 4" xfId="13" xr:uid="{4251E80A-A5AB-4C27-BA01-2911421331B1}"/>
    <cellStyle name="Normal 7" xfId="10" xr:uid="{00000000-0005-0000-0000-000008000000}"/>
    <cellStyle name="Normal_Cover Sheet" xfId="4" xr:uid="{00000000-0005-0000-0000-000009000000}"/>
    <cellStyle name="Normal_Solution Backlog Template" xfId="2" xr:uid="{00000000-0005-0000-0000-00000A000000}"/>
    <cellStyle name="Percent 2" xfId="14" xr:uid="{84D8EF18-B090-4DB1-939B-0BC1866C78ED}"/>
    <cellStyle name="Standard_Mappe1" xfId="11" xr:uid="{00000000-0005-0000-0000-00000B000000}"/>
  </cellStyles>
  <dxfs count="4">
    <dxf>
      <numFmt numFmtId="0" formatCode="General"/>
    </dxf>
    <dxf>
      <numFmt numFmtId="0" formatCode="General"/>
    </dxf>
    <dxf>
      <font>
        <color rgb="FF9C0006"/>
      </font>
      <fill>
        <patternFill>
          <bgColor rgb="FFFFC7CE"/>
        </patternFill>
      </fill>
    </dxf>
    <dxf>
      <font>
        <color theme="0"/>
      </font>
      <fill>
        <patternFill>
          <bgColor theme="3"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Avance</a:t>
            </a:r>
            <a:r>
              <a:rPr lang="en-US" baseline="0"/>
              <a:t> esperado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Avance Acumulado</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End_to_end!$C$34:$H$34</c:f>
              <c:numCache>
                <c:formatCode>0%</c:formatCode>
                <c:ptCount val="6"/>
                <c:pt idx="0">
                  <c:v>0.16</c:v>
                </c:pt>
                <c:pt idx="1">
                  <c:v>0.32</c:v>
                </c:pt>
                <c:pt idx="2">
                  <c:v>0.48</c:v>
                </c:pt>
                <c:pt idx="3">
                  <c:v>0.64</c:v>
                </c:pt>
                <c:pt idx="4">
                  <c:v>0.8</c:v>
                </c:pt>
                <c:pt idx="5">
                  <c:v>1</c:v>
                </c:pt>
              </c:numCache>
            </c:numRef>
          </c:val>
          <c:extLst>
            <c:ext xmlns:c15="http://schemas.microsoft.com/office/drawing/2012/chart" uri="{02D57815-91ED-43cb-92C2-25804820EDAC}">
              <c15:filteredCategoryTitle>
                <c15:cat>
                  <c:strRef>
                    <c:extLst>
                      <c:ext uri="{02D57815-91ED-43cb-92C2-25804820EDAC}">
                        <c15:formulaRef>
                          <c15:sqref>End_to_end!$C$33:$H$33</c15:sqref>
                        </c15:formulaRef>
                      </c:ext>
                    </c:extLst>
                    <c:strCache>
                      <c:ptCount val="6"/>
                      <c:pt idx="0">
                        <c:v>Jul-Ago</c:v>
                      </c:pt>
                      <c:pt idx="1">
                        <c:v>Ago-Sep</c:v>
                      </c:pt>
                      <c:pt idx="2">
                        <c:v>Sep-Oct</c:v>
                      </c:pt>
                      <c:pt idx="3">
                        <c:v>Oct-Nov</c:v>
                      </c:pt>
                      <c:pt idx="4">
                        <c:v>Nov-Dic</c:v>
                      </c:pt>
                      <c:pt idx="5">
                        <c:v>Dic-Ene</c:v>
                      </c:pt>
                    </c:strCache>
                  </c:strRef>
                </c15:cat>
              </c15:filteredCategoryTitle>
            </c:ext>
            <c:ext xmlns:c16="http://schemas.microsoft.com/office/drawing/2014/chart" uri="{C3380CC4-5D6E-409C-BE32-E72D297353CC}">
              <c16:uniqueId val="{00000000-EF8D-4AF7-BEBC-99E722C2CD9B}"/>
            </c:ext>
          </c:extLst>
        </c:ser>
        <c:ser>
          <c:idx val="0"/>
          <c:order val="1"/>
          <c:tx>
            <c:v>Avance</c:v>
          </c:tx>
          <c:spPr>
            <a:solidFill>
              <a:schemeClr val="accent1"/>
            </a:solidFill>
            <a:ln>
              <a:noFill/>
            </a:ln>
            <a:effectLst/>
          </c:spPr>
          <c:invertIfNegative val="0"/>
          <c:val>
            <c:numRef>
              <c:f>End_to_end!$C$35:$H$35</c:f>
              <c:numCache>
                <c:formatCode>0%</c:formatCode>
                <c:ptCount val="6"/>
                <c:pt idx="0">
                  <c:v>0.16</c:v>
                </c:pt>
                <c:pt idx="1">
                  <c:v>0.16</c:v>
                </c:pt>
                <c:pt idx="2">
                  <c:v>0.16</c:v>
                </c:pt>
                <c:pt idx="3">
                  <c:v>0.16</c:v>
                </c:pt>
                <c:pt idx="4">
                  <c:v>0.16</c:v>
                </c:pt>
                <c:pt idx="5">
                  <c:v>0.19999999999999996</c:v>
                </c:pt>
              </c:numCache>
            </c:numRef>
          </c:val>
          <c:extLst>
            <c:ext xmlns:c16="http://schemas.microsoft.com/office/drawing/2014/chart" uri="{C3380CC4-5D6E-409C-BE32-E72D297353CC}">
              <c16:uniqueId val="{00000001-EF8D-4AF7-BEBC-99E722C2CD9B}"/>
            </c:ext>
          </c:extLst>
        </c:ser>
        <c:dLbls>
          <c:showLegendKey val="0"/>
          <c:showVal val="0"/>
          <c:showCatName val="0"/>
          <c:showSerName val="0"/>
          <c:showPercent val="0"/>
          <c:showBubbleSize val="0"/>
        </c:dLbls>
        <c:gapWidth val="219"/>
        <c:overlap val="-27"/>
        <c:axId val="180765216"/>
        <c:axId val="49720448"/>
      </c:barChart>
      <c:catAx>
        <c:axId val="18076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0448"/>
        <c:crosses val="autoZero"/>
        <c:auto val="0"/>
        <c:lblAlgn val="ctr"/>
        <c:lblOffset val="100"/>
        <c:noMultiLvlLbl val="0"/>
      </c:catAx>
      <c:valAx>
        <c:axId val="497204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76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232166291713533"/>
          <c:y val="3.6184210526315791E-2"/>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1830370036937209"/>
          <c:y val="0.23684248567679264"/>
          <c:w val="0.6093756641667657"/>
          <c:h val="0.61842204593384742"/>
        </c:manualLayout>
      </c:layout>
      <c:lineChart>
        <c:grouping val="stacked"/>
        <c:varyColors val="0"/>
        <c:ser>
          <c:idx val="0"/>
          <c:order val="0"/>
          <c:tx>
            <c:strRef>
              <c:f>'Burn Down Charts'!$B$2:$C$2</c:f>
              <c:strCache>
                <c:ptCount val="1"/>
                <c:pt idx="0">
                  <c:v>Release Burn Down Chart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[0]!chart1xaxis</c:f>
              <c:strCache>
                <c:ptCount val="12"/>
                <c:pt idx="0">
                  <c:v>R1</c:v>
                </c:pt>
                <c:pt idx="1">
                  <c:v>R2</c:v>
                </c:pt>
                <c:pt idx="2">
                  <c:v>R3</c:v>
                </c:pt>
                <c:pt idx="3">
                  <c:v>R4</c:v>
                </c:pt>
                <c:pt idx="4">
                  <c:v>R5</c:v>
                </c:pt>
                <c:pt idx="5">
                  <c:v>R6</c:v>
                </c:pt>
                <c:pt idx="6">
                  <c:v>R7</c:v>
                </c:pt>
                <c:pt idx="7">
                  <c:v>R8</c:v>
                </c:pt>
                <c:pt idx="8">
                  <c:v>R9</c:v>
                </c:pt>
                <c:pt idx="9">
                  <c:v>R10</c:v>
                </c:pt>
                <c:pt idx="10">
                  <c:v>R11</c:v>
                </c:pt>
                <c:pt idx="11">
                  <c:v>R12</c:v>
                </c:pt>
              </c:strCache>
            </c:strRef>
          </c:cat>
          <c:val>
            <c:numRef>
              <c:f>[0]!chart1backlog</c:f>
              <c:numCache>
                <c:formatCode>General</c:formatCode>
                <c:ptCount val="3"/>
                <c:pt idx="0">
                  <c:v>100</c:v>
                </c:pt>
                <c:pt idx="1">
                  <c:v>50</c:v>
                </c:pt>
                <c:pt idx="2">
                  <c:v>42</c:v>
                </c:pt>
              </c:numCache>
            </c:numRef>
          </c:val>
          <c:smooth val="0"/>
          <c:extLst>
            <c:ext xmlns:c16="http://schemas.microsoft.com/office/drawing/2014/chart" uri="{C3380CC4-5D6E-409C-BE32-E72D297353CC}">
              <c16:uniqueId val="{00000000-A2CA-46AC-9D57-893EE7B82B64}"/>
            </c:ext>
          </c:extLst>
        </c:ser>
        <c:dLbls>
          <c:showLegendKey val="0"/>
          <c:showVal val="0"/>
          <c:showCatName val="0"/>
          <c:showSerName val="0"/>
          <c:showPercent val="0"/>
          <c:showBubbleSize val="0"/>
        </c:dLbls>
        <c:marker val="1"/>
        <c:smooth val="0"/>
        <c:axId val="72720384"/>
        <c:axId val="88338432"/>
      </c:lineChart>
      <c:catAx>
        <c:axId val="7272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88338432"/>
        <c:crosses val="autoZero"/>
        <c:auto val="1"/>
        <c:lblAlgn val="ctr"/>
        <c:lblOffset val="100"/>
        <c:tickLblSkip val="1"/>
        <c:tickMarkSkip val="1"/>
        <c:noMultiLvlLbl val="0"/>
      </c:catAx>
      <c:valAx>
        <c:axId val="8833843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72720384"/>
        <c:crosses val="autoZero"/>
        <c:crossBetween val="between"/>
      </c:valAx>
      <c:spPr>
        <a:solidFill>
          <a:srgbClr val="C0C0C0"/>
        </a:solidFill>
        <a:ln w="12700">
          <a:solidFill>
            <a:srgbClr val="808080"/>
          </a:solidFill>
          <a:prstDash val="solid"/>
        </a:ln>
      </c:spPr>
    </c:plotArea>
    <c:legend>
      <c:legendPos val="r"/>
      <c:legendEntry>
        <c:idx val="0"/>
        <c:txPr>
          <a:bodyPr/>
          <a:lstStyle/>
          <a:p>
            <a:pPr>
              <a:defRPr sz="920" b="0" i="0" u="none" strike="noStrike" baseline="0">
                <a:solidFill>
                  <a:srgbClr val="000000"/>
                </a:solidFill>
                <a:latin typeface="Arial"/>
                <a:ea typeface="Arial"/>
                <a:cs typeface="Arial"/>
              </a:defRPr>
            </a:pPr>
            <a:endParaRPr lang="en-US"/>
          </a:p>
        </c:txPr>
      </c:legendEntry>
      <c:layout>
        <c:manualLayout>
          <c:xMode val="edge"/>
          <c:yMode val="edge"/>
          <c:x val="0.7522328458942632"/>
          <c:y val="0.45065858543997789"/>
          <c:w val="0.2477671541057368"/>
          <c:h val="0.11558916977483075"/>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Release Level Sprint Burndown</a:t>
            </a:r>
          </a:p>
        </c:rich>
      </c:tx>
      <c:layout>
        <c:manualLayout>
          <c:xMode val="edge"/>
          <c:yMode val="edge"/>
          <c:x val="0.25450922843061452"/>
          <c:y val="3.6065573770491806E-2"/>
        </c:manualLayout>
      </c:layout>
      <c:overlay val="0"/>
      <c:spPr>
        <a:noFill/>
        <a:ln w="25400">
          <a:noFill/>
        </a:ln>
      </c:spPr>
    </c:title>
    <c:autoTitleDeleted val="0"/>
    <c:plotArea>
      <c:layout>
        <c:manualLayout>
          <c:layoutTarget val="inner"/>
          <c:xMode val="edge"/>
          <c:yMode val="edge"/>
          <c:x val="0.10420851880373912"/>
          <c:y val="0.21967213114754097"/>
          <c:w val="0.58116289332854509"/>
          <c:h val="0.63606557377049178"/>
        </c:manualLayout>
      </c:layout>
      <c:lineChart>
        <c:grouping val="standard"/>
        <c:varyColors val="0"/>
        <c:ser>
          <c:idx val="0"/>
          <c:order val="0"/>
          <c:tx>
            <c:strRef>
              <c:f>'Burn Down Charts'!$G$2:$I$2</c:f>
              <c:strCache>
                <c:ptCount val="1"/>
                <c:pt idx="0">
                  <c:v>Sprint Burn Down Chart 
According to Release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[0]!chart2xaxis</c:f>
              <c:strCache>
                <c:ptCount val="2"/>
                <c:pt idx="0">
                  <c:v>S1</c:v>
                </c:pt>
                <c:pt idx="1">
                  <c:v>S2</c:v>
                </c:pt>
              </c:strCache>
            </c:strRef>
          </c:cat>
          <c:val>
            <c:numRef>
              <c:f>[0]!chart2backlog</c:f>
              <c:numCache>
                <c:formatCode>General</c:formatCode>
                <c:ptCount val="2"/>
                <c:pt idx="0">
                  <c:v>100</c:v>
                </c:pt>
                <c:pt idx="1">
                  <c:v>60</c:v>
                </c:pt>
              </c:numCache>
            </c:numRef>
          </c:val>
          <c:smooth val="0"/>
          <c:extLst>
            <c:ext xmlns:c16="http://schemas.microsoft.com/office/drawing/2014/chart" uri="{C3380CC4-5D6E-409C-BE32-E72D297353CC}">
              <c16:uniqueId val="{00000000-7287-407A-A0BA-0505E525D996}"/>
            </c:ext>
          </c:extLst>
        </c:ser>
        <c:dLbls>
          <c:showLegendKey val="0"/>
          <c:showVal val="0"/>
          <c:showCatName val="0"/>
          <c:showSerName val="0"/>
          <c:showPercent val="0"/>
          <c:showBubbleSize val="0"/>
        </c:dLbls>
        <c:marker val="1"/>
        <c:smooth val="0"/>
        <c:axId val="142286848"/>
        <c:axId val="142289152"/>
      </c:lineChart>
      <c:catAx>
        <c:axId val="142286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42289152"/>
        <c:crosses val="autoZero"/>
        <c:auto val="1"/>
        <c:lblAlgn val="ctr"/>
        <c:lblOffset val="100"/>
        <c:tickLblSkip val="1"/>
        <c:tickMarkSkip val="1"/>
        <c:noMultiLvlLbl val="0"/>
      </c:catAx>
      <c:valAx>
        <c:axId val="14228915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42286848"/>
        <c:crosses val="autoZero"/>
        <c:crossBetween val="between"/>
      </c:valAx>
      <c:spPr>
        <a:solidFill>
          <a:srgbClr val="C0C0C0"/>
        </a:solidFill>
        <a:ln w="12700">
          <a:solidFill>
            <a:srgbClr val="808080"/>
          </a:solidFill>
          <a:prstDash val="solid"/>
        </a:ln>
      </c:spPr>
    </c:plotArea>
    <c:legend>
      <c:legendPos val="r"/>
      <c:layout>
        <c:manualLayout>
          <c:xMode val="edge"/>
          <c:yMode val="edge"/>
          <c:x val="0.72745554100326637"/>
          <c:y val="0.41311475409836068"/>
          <c:w val="0.25651323644664659"/>
          <c:h val="0.30163934426229505"/>
        </c:manualLayout>
      </c:layout>
      <c:overlay val="0"/>
      <c:spPr>
        <a:solidFill>
          <a:srgbClr val="FFFFFF"/>
        </a:solidFill>
        <a:ln w="3175">
          <a:solidFill>
            <a:srgbClr val="000000"/>
          </a:solidFill>
          <a:prstDash val="solid"/>
        </a:ln>
      </c:spPr>
      <c:txPr>
        <a:bodyPr/>
        <a:lstStyle/>
        <a:p>
          <a:pPr>
            <a:defRPr sz="94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744420615415118"/>
          <c:y val="0.14199614428727383"/>
          <c:w val="0.74688978986970567"/>
          <c:h val="0.63979002624671921"/>
        </c:manualLayout>
      </c:layout>
      <c:lineChart>
        <c:grouping val="stacked"/>
        <c:varyColors val="0"/>
        <c:ser>
          <c:idx val="0"/>
          <c:order val="0"/>
          <c:cat>
            <c:strRef>
              <c:f>'Burn Up Chart'!$T$30:$T$41</c:f>
              <c:strCache>
                <c:ptCount val="6"/>
                <c:pt idx="0">
                  <c:v>S3</c:v>
                </c:pt>
                <c:pt idx="1">
                  <c:v>S4</c:v>
                </c:pt>
                <c:pt idx="2">
                  <c:v>S5</c:v>
                </c:pt>
                <c:pt idx="3">
                  <c:v>S6</c:v>
                </c:pt>
                <c:pt idx="4">
                  <c:v>S7</c:v>
                </c:pt>
                <c:pt idx="5">
                  <c:v>S8</c:v>
                </c:pt>
              </c:strCache>
            </c:strRef>
          </c:cat>
          <c:val>
            <c:numRef>
              <c:f>'Burn Up Chart'!$U$30:$U$33</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E1A3-43A7-AF02-E3B6F59DB243}"/>
            </c:ext>
          </c:extLst>
        </c:ser>
        <c:dLbls>
          <c:showLegendKey val="0"/>
          <c:showVal val="0"/>
          <c:showCatName val="0"/>
          <c:showSerName val="0"/>
          <c:showPercent val="0"/>
          <c:showBubbleSize val="0"/>
        </c:dLbls>
        <c:marker val="1"/>
        <c:smooth val="0"/>
        <c:axId val="131394560"/>
        <c:axId val="131425024"/>
      </c:lineChart>
      <c:catAx>
        <c:axId val="131394560"/>
        <c:scaling>
          <c:orientation val="minMax"/>
        </c:scaling>
        <c:delete val="0"/>
        <c:axPos val="b"/>
        <c:numFmt formatCode="General" sourceLinked="1"/>
        <c:majorTickMark val="out"/>
        <c:minorTickMark val="none"/>
        <c:tickLblPos val="nextTo"/>
        <c:crossAx val="131425024"/>
        <c:crosses val="autoZero"/>
        <c:auto val="1"/>
        <c:lblAlgn val="ctr"/>
        <c:lblOffset val="100"/>
        <c:noMultiLvlLbl val="0"/>
      </c:catAx>
      <c:valAx>
        <c:axId val="131425024"/>
        <c:scaling>
          <c:orientation val="minMax"/>
        </c:scaling>
        <c:delete val="0"/>
        <c:axPos val="l"/>
        <c:majorGridlines/>
        <c:numFmt formatCode="General" sourceLinked="1"/>
        <c:majorTickMark val="out"/>
        <c:minorTickMark val="none"/>
        <c:tickLblPos val="nextTo"/>
        <c:crossAx val="131394560"/>
        <c:crosses val="autoZero"/>
        <c:crossBetween val="between"/>
      </c:valAx>
    </c:plotArea>
    <c:plotVisOnly val="1"/>
    <c:dispBlanksAs val="zero"/>
    <c:showDLblsOverMax val="0"/>
  </c:chart>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26670</xdr:colOff>
      <xdr:row>35</xdr:row>
      <xdr:rowOff>80010</xdr:rowOff>
    </xdr:from>
    <xdr:to>
      <xdr:col>16</xdr:col>
      <xdr:colOff>186690</xdr:colOff>
      <xdr:row>50</xdr:row>
      <xdr:rowOff>80010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238125</xdr:colOff>
      <xdr:row>18</xdr:row>
      <xdr:rowOff>9525</xdr:rowOff>
    </xdr:from>
    <xdr:to>
      <xdr:col>5</xdr:col>
      <xdr:colOff>342900</xdr:colOff>
      <xdr:row>35</xdr:row>
      <xdr:rowOff>152400</xdr:rowOff>
    </xdr:to>
    <xdr:graphicFrame macro="">
      <xdr:nvGraphicFramePr>
        <xdr:cNvPr id="9316" name="Chart 1">
          <a:extLst>
            <a:ext uri="{FF2B5EF4-FFF2-40B4-BE49-F238E27FC236}">
              <a16:creationId xmlns:a16="http://schemas.microsoft.com/office/drawing/2014/main" id="{00000000-0008-0000-0D00-000064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18</xdr:row>
      <xdr:rowOff>9525</xdr:rowOff>
    </xdr:from>
    <xdr:to>
      <xdr:col>13</xdr:col>
      <xdr:colOff>400050</xdr:colOff>
      <xdr:row>36</xdr:row>
      <xdr:rowOff>0</xdr:rowOff>
    </xdr:to>
    <xdr:graphicFrame macro="">
      <xdr:nvGraphicFramePr>
        <xdr:cNvPr id="9317" name="Chart 2">
          <a:extLst>
            <a:ext uri="{FF2B5EF4-FFF2-40B4-BE49-F238E27FC236}">
              <a16:creationId xmlns:a16="http://schemas.microsoft.com/office/drawing/2014/main" id="{00000000-0008-0000-0D00-000065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0</xdr:colOff>
          <xdr:row>15</xdr:row>
          <xdr:rowOff>83820</xdr:rowOff>
        </xdr:from>
        <xdr:to>
          <xdr:col>7</xdr:col>
          <xdr:colOff>495300</xdr:colOff>
          <xdr:row>17</xdr:row>
          <xdr:rowOff>38100</xdr:rowOff>
        </xdr:to>
        <xdr:sp macro="" textlink="">
          <xdr:nvSpPr>
            <xdr:cNvPr id="9219" name="ComboBox1"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400050</xdr:colOff>
      <xdr:row>3</xdr:row>
      <xdr:rowOff>104775</xdr:rowOff>
    </xdr:from>
    <xdr:to>
      <xdr:col>12</xdr:col>
      <xdr:colOff>342900</xdr:colOff>
      <xdr:row>21</xdr:row>
      <xdr:rowOff>85725</xdr:rowOff>
    </xdr:to>
    <xdr:graphicFrame macro="">
      <xdr:nvGraphicFramePr>
        <xdr:cNvPr id="12335" name="Chart 1">
          <a:extLst>
            <a:ext uri="{FF2B5EF4-FFF2-40B4-BE49-F238E27FC236}">
              <a16:creationId xmlns:a16="http://schemas.microsoft.com/office/drawing/2014/main" id="{00000000-0008-0000-0E00-00002F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411480</xdr:colOff>
          <xdr:row>2</xdr:row>
          <xdr:rowOff>30480</xdr:rowOff>
        </xdr:from>
        <xdr:to>
          <xdr:col>7</xdr:col>
          <xdr:colOff>381000</xdr:colOff>
          <xdr:row>2</xdr:row>
          <xdr:rowOff>335280</xdr:rowOff>
        </xdr:to>
        <xdr:sp macro="" textlink="">
          <xdr:nvSpPr>
            <xdr:cNvPr id="12298" name="ComboBox2" hidden="1">
              <a:extLst>
                <a:ext uri="{63B3BB69-23CF-44E3-9099-C40C66FF867C}">
                  <a14:compatExt spid="_x0000_s12298"/>
                </a:ext>
                <a:ext uri="{FF2B5EF4-FFF2-40B4-BE49-F238E27FC236}">
                  <a16:creationId xmlns:a16="http://schemas.microsoft.com/office/drawing/2014/main" id="{00000000-0008-0000-0E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0.4797</cdr:x>
      <cdr:y>0.88394</cdr:y>
    </cdr:from>
    <cdr:to>
      <cdr:x>0.77228</cdr:x>
      <cdr:y>0.98399</cdr:y>
    </cdr:to>
    <cdr:sp macro="" textlink="">
      <cdr:nvSpPr>
        <cdr:cNvPr id="120833" name="TextBox 1"/>
        <cdr:cNvSpPr txBox="1">
          <a:spLocks xmlns:a="http://schemas.openxmlformats.org/drawingml/2006/main" noChangeArrowheads="1"/>
        </cdr:cNvSpPr>
      </cdr:nvSpPr>
      <cdr:spPr bwMode="auto">
        <a:xfrm xmlns:a="http://schemas.openxmlformats.org/drawingml/2006/main">
          <a:off x="2132374" y="2714276"/>
          <a:ext cx="1298677" cy="3068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defRPr sz="1000"/>
          </a:pPr>
          <a:r>
            <a:rPr lang="en-US" sz="1100" b="0" i="0" strike="noStrike">
              <a:solidFill>
                <a:srgbClr val="000000"/>
              </a:solidFill>
              <a:latin typeface="Calibri"/>
            </a:rPr>
            <a:t>Sprint</a:t>
          </a:r>
        </a:p>
      </cdr:txBody>
    </cdr:sp>
  </cdr:relSizeAnchor>
  <cdr:relSizeAnchor xmlns:cdr="http://schemas.openxmlformats.org/drawingml/2006/chartDrawing">
    <cdr:from>
      <cdr:x>0.32409</cdr:x>
      <cdr:y>0.02679</cdr:y>
    </cdr:from>
    <cdr:to>
      <cdr:x>0.81856</cdr:x>
      <cdr:y>0.11602</cdr:y>
    </cdr:to>
    <cdr:sp macro="" textlink="">
      <cdr:nvSpPr>
        <cdr:cNvPr id="4" name="TextBox 1"/>
        <cdr:cNvSpPr txBox="1"/>
      </cdr:nvSpPr>
      <cdr:spPr>
        <a:xfrm xmlns:a="http://schemas.openxmlformats.org/drawingml/2006/main">
          <a:off x="1449046" y="85683"/>
          <a:ext cx="2200933" cy="29280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Release</a:t>
          </a:r>
          <a:r>
            <a:rPr lang="en-US" sz="1100" baseline="0"/>
            <a:t> Level Sprint Burn Up Chart</a:t>
          </a:r>
          <a:endParaRPr lang="en-US"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office.accenture.com/Durgesh/Method/Q1-FY14/Data%20Migration/Attachment/sample/sample%20cleansed/Archiving%20Requirements%20Sampl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office.accenture.com/Users/r.meharwade/Documents/SharePoint%20Drafts/Backlogs/From%20Agile%20Methodology/Solution%20Backlog%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stem"/>
      <sheetName val="Cover Sheet"/>
      <sheetName val="Analysis Guideline"/>
      <sheetName val="GI_General Information"/>
      <sheetName val="CO_Contracts"/>
      <sheetName val="TI_Technical Information"/>
      <sheetName val="LR_Legal Requirements_Country A"/>
      <sheetName val="LR_Legal Requirements_Country B"/>
      <sheetName val="LR_Legal Requirements_other"/>
      <sheetName val="BR_Regulatory_Business_Requirem"/>
      <sheetName val="NR_Non Regulatory_Business_Req"/>
      <sheetName val="AP_Archive"/>
      <sheetName val="BA_Backup"/>
      <sheetName val="md_Language"/>
      <sheetName val="md_CommandBar"/>
      <sheetName val="WA_Wave"/>
      <sheetName val="Quality Check"/>
      <sheetName val="Revision History"/>
      <sheetName val="technic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3">
          <cell r="A3" t="str">
            <v>Yes</v>
          </cell>
        </row>
        <row r="4">
          <cell r="A4" t="str">
            <v>No</v>
          </cell>
        </row>
        <row r="20">
          <cell r="A20" t="str">
            <v>Licence</v>
          </cell>
        </row>
        <row r="21">
          <cell r="A21" t="str">
            <v>Maintenance Contract</v>
          </cell>
        </row>
        <row r="22">
          <cell r="A22" t="str">
            <v>Licence and Maintenance Contract</v>
          </cell>
        </row>
        <row r="23">
          <cell r="A23" t="str">
            <v>Support Contract</v>
          </cell>
        </row>
        <row r="26">
          <cell r="A26" t="str">
            <v>annual</v>
          </cell>
        </row>
        <row r="27">
          <cell r="A27" t="str">
            <v>biannual</v>
          </cell>
        </row>
        <row r="28">
          <cell r="A28" t="str">
            <v>quarterly</v>
          </cell>
        </row>
        <row r="29">
          <cell r="A29" t="str">
            <v>bimonthly</v>
          </cell>
        </row>
        <row r="30">
          <cell r="A30" t="str">
            <v>monthly</v>
          </cell>
        </row>
        <row r="31">
          <cell r="A31" t="str">
            <v>other</v>
          </cell>
        </row>
        <row r="34">
          <cell r="A34" t="str">
            <v>end of termtime</v>
          </cell>
        </row>
        <row r="35">
          <cell r="A35" t="str">
            <v>end of quarter</v>
          </cell>
        </row>
        <row r="36">
          <cell r="A36" t="str">
            <v>end of year</v>
          </cell>
        </row>
        <row r="37">
          <cell r="A37" t="str">
            <v>end of month</v>
          </cell>
        </row>
        <row r="38">
          <cell r="A38" t="str">
            <v>any</v>
          </cell>
        </row>
        <row r="41">
          <cell r="A41" t="str">
            <v>≤20GB</v>
          </cell>
        </row>
        <row r="42">
          <cell r="A42" t="str">
            <v>≤300GB</v>
          </cell>
        </row>
        <row r="43">
          <cell r="A43" t="str">
            <v>&gt;300GB</v>
          </cell>
        </row>
        <row r="50">
          <cell r="A50" t="str">
            <v>Data Dictionary</v>
          </cell>
        </row>
        <row r="51">
          <cell r="A51" t="str">
            <v>Application Specific</v>
          </cell>
        </row>
        <row r="52">
          <cell r="A52" t="str">
            <v>SW Documentation, Source Code</v>
          </cell>
        </row>
        <row r="53">
          <cell r="A53" t="str">
            <v>Other Repository</v>
          </cell>
        </row>
        <row r="54">
          <cell r="A54" t="str">
            <v>Not Available</v>
          </cell>
        </row>
        <row r="64">
          <cell r="A64" t="str">
            <v>low</v>
          </cell>
        </row>
        <row r="65">
          <cell r="A65" t="str">
            <v>medium</v>
          </cell>
        </row>
        <row r="66">
          <cell r="A66" t="str">
            <v>high</v>
          </cell>
        </row>
        <row r="72">
          <cell r="A72" t="str">
            <v>Z1 (direkter Zugriff)</v>
          </cell>
        </row>
        <row r="73">
          <cell r="A73" t="str">
            <v>Z2 ( mittelbarer Zugriff)</v>
          </cell>
        </row>
        <row r="74">
          <cell r="A74" t="str">
            <v>Z3 (Datenträgerüberlassung</v>
          </cell>
        </row>
        <row r="77">
          <cell r="A77" t="str">
            <v>strictly confidential</v>
          </cell>
        </row>
        <row r="78">
          <cell r="A78" t="str">
            <v>confidential</v>
          </cell>
        </row>
        <row r="79">
          <cell r="A79" t="str">
            <v>interal</v>
          </cell>
        </row>
        <row r="80">
          <cell r="A80" t="str">
            <v>public</v>
          </cell>
        </row>
        <row r="83">
          <cell r="A83" t="str">
            <v>Newly implemented</v>
          </cell>
        </row>
        <row r="84">
          <cell r="A84" t="str">
            <v>Mature with good cost ratio</v>
          </cell>
        </row>
        <row r="85">
          <cell r="A85" t="str">
            <v>To be replaced</v>
          </cell>
        </row>
        <row r="86">
          <cell r="A86" t="str">
            <v>To be modified</v>
          </cell>
        </row>
        <row r="89">
          <cell r="A89" t="str">
            <v>Standard SW / internally customized</v>
          </cell>
        </row>
        <row r="90">
          <cell r="A90" t="str">
            <v>Standard SW / externally customized</v>
          </cell>
        </row>
        <row r="91">
          <cell r="A91" t="str">
            <v>Individual SW / internally customized</v>
          </cell>
        </row>
        <row r="92">
          <cell r="A92" t="str">
            <v>Individual SW / externally customized</v>
          </cell>
        </row>
        <row r="95">
          <cell r="A95" t="str">
            <v>WSAD</v>
          </cell>
        </row>
        <row r="96">
          <cell r="A96" t="str">
            <v>Together</v>
          </cell>
        </row>
        <row r="97">
          <cell r="A97" t="str">
            <v>Eclipse</v>
          </cell>
        </row>
        <row r="98">
          <cell r="A98" t="str">
            <v>Mainframe standard environment</v>
          </cell>
        </row>
        <row r="99">
          <cell r="A99" t="str">
            <v>SAP standard environment</v>
          </cell>
        </row>
        <row r="100">
          <cell r="A100" t="str">
            <v>Siebel standard environment</v>
          </cell>
        </row>
        <row r="101">
          <cell r="A101" t="str">
            <v>DWH - Informatica, IBM OLAP Server, Business Objects</v>
          </cell>
        </row>
        <row r="102">
          <cell r="A102" t="str">
            <v>Java Development Environment</v>
          </cell>
        </row>
        <row r="103">
          <cell r="A103" t="str">
            <v>Sybase Development Environment</v>
          </cell>
        </row>
        <row r="104">
          <cell r="A104" t="str">
            <v>Other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 Description"/>
      <sheetName val="Definitions"/>
      <sheetName val="Solution-Release Status"/>
      <sheetName val="Status by Sprint"/>
      <sheetName val="Non Functional Reqs"/>
      <sheetName val="Mgmt Support"/>
      <sheetName val="Backlog"/>
      <sheetName val="08-S1"/>
      <sheetName val="Sprint Template"/>
      <sheetName val="Release Planning"/>
      <sheetName val="Capacity"/>
    </sheetNames>
    <sheetDataSet>
      <sheetData sheetId="0" refreshError="1"/>
      <sheetData sheetId="1" refreshError="1"/>
      <sheetData sheetId="2" refreshError="1"/>
      <sheetData sheetId="3" refreshError="1"/>
      <sheetData sheetId="4">
        <row r="7">
          <cell r="C7"/>
          <cell r="D7"/>
          <cell r="E7"/>
          <cell r="F7"/>
          <cell r="G7"/>
          <cell r="H7"/>
          <cell r="I7"/>
          <cell r="J7"/>
          <cell r="K7"/>
          <cell r="L7"/>
          <cell r="M7"/>
          <cell r="N7"/>
        </row>
      </sheetData>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800-000000000000}" autoFormatId="16" applyNumberFormats="0" applyBorderFormats="0" applyFontFormats="0" applyPatternFormats="0" applyAlignmentFormats="0" applyWidthHeightFormats="0">
  <queryTableRefresh nextId="3" unboundColumnsRight="1">
    <queryTableFields count="2">
      <queryTableField id="1" name="Prioridad" tableColumnId="1"/>
      <queryTableField id="2" dataBound="0"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9461AA-B7A1-40B8-AFA9-EB3782E87C1A}" name="Priority" displayName="Priority" ref="A1:B6" tableType="queryTable" totalsRowShown="0">
  <autoFilter ref="A1:B6" xr:uid="{8106BE26-49AD-489D-B4DE-54C3AF94FBAC}"/>
  <tableColumns count="2">
    <tableColumn id="1" xr3:uid="{A6ABB4CD-3DA6-42FB-9337-EDA60EC12213}" uniqueName="1" name="Prioridad" queryTableFieldId="1" dataDxfId="1"/>
    <tableColumn id="2" xr3:uid="{881C78E1-3D91-44AD-91E4-78CD7E7779C4}" uniqueName="2" name="HU Status"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4.bin"/><Relationship Id="rId5" Type="http://schemas.openxmlformats.org/officeDocument/2006/relationships/image" Target="../media/image2.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15.bin"/><Relationship Id="rId5" Type="http://schemas.openxmlformats.org/officeDocument/2006/relationships/image" Target="../media/image3.emf"/><Relationship Id="rId4" Type="http://schemas.openxmlformats.org/officeDocument/2006/relationships/control" Target="../activeX/activeX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
  <sheetViews>
    <sheetView zoomScaleNormal="100" workbookViewId="0">
      <selection activeCell="J17" sqref="J17"/>
    </sheetView>
  </sheetViews>
  <sheetFormatPr defaultColWidth="9.109375" defaultRowHeight="13.2" x14ac:dyDescent="0.25"/>
  <cols>
    <col min="1" max="1" width="6.109375" style="11" customWidth="1"/>
    <col min="2" max="16384" width="9.109375" style="11"/>
  </cols>
  <sheetData>
    <row r="1" spans="1:13" ht="21" x14ac:dyDescent="0.4">
      <c r="A1" s="9"/>
      <c r="B1" s="9"/>
      <c r="C1" s="9"/>
      <c r="D1" s="9"/>
      <c r="E1" s="9"/>
      <c r="F1" s="9"/>
      <c r="G1" s="9"/>
      <c r="H1" s="10"/>
    </row>
    <row r="2" spans="1:13" ht="21" x14ac:dyDescent="0.4">
      <c r="A2" s="9"/>
      <c r="B2" s="9"/>
      <c r="C2" s="9"/>
      <c r="D2" s="9"/>
      <c r="E2" s="9"/>
      <c r="F2" s="9"/>
      <c r="G2" s="9"/>
      <c r="H2" s="10"/>
    </row>
    <row r="3" spans="1:13" x14ac:dyDescent="0.25">
      <c r="A3" s="9"/>
      <c r="B3" s="9"/>
      <c r="C3" s="9"/>
      <c r="D3" s="9"/>
      <c r="E3" s="9"/>
      <c r="F3" s="9"/>
      <c r="G3" s="9"/>
      <c r="H3" s="12"/>
    </row>
    <row r="4" spans="1:13" ht="17.399999999999999" x14ac:dyDescent="0.3">
      <c r="A4" s="9"/>
      <c r="B4" s="9"/>
      <c r="C4" s="9"/>
      <c r="D4" s="9"/>
      <c r="E4" s="9"/>
      <c r="F4" s="9"/>
      <c r="G4" s="9"/>
      <c r="H4" s="13"/>
    </row>
    <row r="5" spans="1:13" x14ac:dyDescent="0.25">
      <c r="A5" s="14"/>
    </row>
    <row r="6" spans="1:13" x14ac:dyDescent="0.25">
      <c r="A6" s="220"/>
      <c r="B6" s="220"/>
      <c r="C6" s="220"/>
      <c r="D6" s="220"/>
      <c r="E6" s="220"/>
      <c r="F6" s="220"/>
      <c r="G6" s="220"/>
      <c r="H6" s="220"/>
    </row>
    <row r="7" spans="1:13" x14ac:dyDescent="0.25">
      <c r="A7" s="15"/>
    </row>
    <row r="8" spans="1:13" ht="18" x14ac:dyDescent="0.35">
      <c r="A8" s="16"/>
      <c r="B8" s="17"/>
      <c r="C8" s="16"/>
      <c r="D8" s="16"/>
      <c r="E8" s="16"/>
      <c r="F8" s="16"/>
      <c r="G8" s="16"/>
      <c r="H8" s="16"/>
      <c r="I8" s="16"/>
      <c r="J8" s="16"/>
      <c r="K8" s="16"/>
      <c r="L8" s="16"/>
      <c r="M8" s="16"/>
    </row>
    <row r="9" spans="1:13" ht="18" x14ac:dyDescent="0.35">
      <c r="B9" s="17" t="s">
        <v>316</v>
      </c>
    </row>
    <row r="10" spans="1:13" ht="14.4" x14ac:dyDescent="0.3">
      <c r="B10" s="18" t="s">
        <v>92</v>
      </c>
    </row>
    <row r="12" spans="1:13" ht="15.6" x14ac:dyDescent="0.3">
      <c r="B12" s="19" t="s">
        <v>93</v>
      </c>
    </row>
  </sheetData>
  <mergeCells count="1">
    <mergeCell ref="A6:H6"/>
  </mergeCells>
  <pageMargins left="0.75" right="0.75" top="1" bottom="1" header="0.5" footer="0.5"/>
  <pageSetup paperSize="9" orientation="landscape" r:id="rId1"/>
  <headerFooter alignWithMargins="0">
    <oddHeader xml:space="preserve">&amp;L&amp;"-,Regular"Product Backlog </oddHeader>
    <oddFooter>&amp;C&amp;"-,Regular"&amp;G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38"/>
  <sheetViews>
    <sheetView topLeftCell="A14" workbookViewId="0">
      <selection activeCell="A34" sqref="A34"/>
    </sheetView>
  </sheetViews>
  <sheetFormatPr defaultColWidth="9.109375" defaultRowHeight="13.8" x14ac:dyDescent="0.3"/>
  <cols>
    <col min="1" max="1" width="1.109375" style="29" customWidth="1"/>
    <col min="2" max="2" width="9.109375" style="33"/>
    <col min="3" max="3" width="83.109375" style="33" customWidth="1"/>
    <col min="4" max="4" width="9.109375" style="32"/>
    <col min="5" max="16384" width="9.109375" style="33"/>
  </cols>
  <sheetData>
    <row r="1" spans="1:3" s="30" customFormat="1" ht="6" customHeight="1" x14ac:dyDescent="0.25">
      <c r="A1" s="29"/>
      <c r="C1" s="31"/>
    </row>
    <row r="2" spans="1:3" ht="27.75" customHeight="1" x14ac:dyDescent="0.3">
      <c r="B2" s="221" t="s">
        <v>46</v>
      </c>
      <c r="C2" s="222"/>
    </row>
    <row r="3" spans="1:3" ht="14.25" customHeight="1" x14ac:dyDescent="0.3">
      <c r="B3" s="34"/>
      <c r="C3" s="35"/>
    </row>
    <row r="4" spans="1:3" ht="14.25" customHeight="1" x14ac:dyDescent="0.3">
      <c r="B4" s="36" t="s">
        <v>352</v>
      </c>
      <c r="C4" s="37"/>
    </row>
    <row r="5" spans="1:3" x14ac:dyDescent="0.3">
      <c r="B5" s="38"/>
      <c r="C5" s="39" t="s">
        <v>353</v>
      </c>
    </row>
    <row r="6" spans="1:3" x14ac:dyDescent="0.3">
      <c r="B6" s="38"/>
      <c r="C6" s="39"/>
    </row>
    <row r="7" spans="1:3" ht="14.25" customHeight="1" x14ac:dyDescent="0.3">
      <c r="B7" s="36" t="s">
        <v>354</v>
      </c>
      <c r="C7" s="37"/>
    </row>
    <row r="8" spans="1:3" x14ac:dyDescent="0.3">
      <c r="B8" s="38"/>
      <c r="C8" s="39" t="s">
        <v>355</v>
      </c>
    </row>
    <row r="9" spans="1:3" x14ac:dyDescent="0.3">
      <c r="B9" s="38"/>
      <c r="C9" s="39"/>
    </row>
    <row r="10" spans="1:3" ht="14.25" hidden="1" customHeight="1" x14ac:dyDescent="0.3">
      <c r="B10" s="36" t="s">
        <v>356</v>
      </c>
      <c r="C10" s="37"/>
    </row>
    <row r="11" spans="1:3" hidden="1" x14ac:dyDescent="0.3">
      <c r="B11" s="38"/>
      <c r="C11" s="39" t="s">
        <v>357</v>
      </c>
    </row>
    <row r="12" spans="1:3" x14ac:dyDescent="0.3">
      <c r="B12" s="38"/>
      <c r="C12" s="39"/>
    </row>
    <row r="13" spans="1:3" ht="14.25" customHeight="1" x14ac:dyDescent="0.3">
      <c r="B13" s="36" t="s">
        <v>54</v>
      </c>
      <c r="C13" s="37"/>
    </row>
    <row r="14" spans="1:3" ht="27.6" x14ac:dyDescent="0.3">
      <c r="B14" s="38"/>
      <c r="C14" s="39" t="s">
        <v>57</v>
      </c>
    </row>
    <row r="15" spans="1:3" x14ac:dyDescent="0.3">
      <c r="B15" s="38"/>
      <c r="C15" s="39"/>
    </row>
    <row r="16" spans="1:3" x14ac:dyDescent="0.3">
      <c r="B16" s="36" t="s">
        <v>4</v>
      </c>
      <c r="C16" s="37"/>
    </row>
    <row r="17" spans="2:3" x14ac:dyDescent="0.3">
      <c r="B17" s="38"/>
      <c r="C17" s="39" t="s">
        <v>58</v>
      </c>
    </row>
    <row r="18" spans="2:3" x14ac:dyDescent="0.3">
      <c r="B18" s="38"/>
      <c r="C18" s="39"/>
    </row>
    <row r="19" spans="2:3" x14ac:dyDescent="0.3">
      <c r="B19" s="40" t="s">
        <v>45</v>
      </c>
      <c r="C19" s="41"/>
    </row>
    <row r="20" spans="2:3" ht="25.5" customHeight="1" x14ac:dyDescent="0.3">
      <c r="B20" s="38"/>
      <c r="C20" s="39" t="s">
        <v>76</v>
      </c>
    </row>
    <row r="21" spans="2:3" x14ac:dyDescent="0.3">
      <c r="B21" s="38"/>
      <c r="C21" s="39"/>
    </row>
    <row r="22" spans="2:3" x14ac:dyDescent="0.3">
      <c r="B22" s="40" t="s">
        <v>47</v>
      </c>
      <c r="C22" s="41"/>
    </row>
    <row r="23" spans="2:3" ht="25.5" customHeight="1" x14ac:dyDescent="0.3">
      <c r="B23" s="38"/>
      <c r="C23" s="39" t="s">
        <v>44</v>
      </c>
    </row>
    <row r="24" spans="2:3" ht="10.5" customHeight="1" x14ac:dyDescent="0.3">
      <c r="B24" s="38"/>
      <c r="C24" s="39"/>
    </row>
    <row r="25" spans="2:3" x14ac:dyDescent="0.3">
      <c r="B25" s="40" t="s">
        <v>60</v>
      </c>
      <c r="C25" s="41"/>
    </row>
    <row r="26" spans="2:3" ht="25.5" customHeight="1" x14ac:dyDescent="0.3">
      <c r="B26" s="38"/>
      <c r="C26" s="39" t="s">
        <v>59</v>
      </c>
    </row>
    <row r="27" spans="2:3" ht="10.5" customHeight="1" x14ac:dyDescent="0.3">
      <c r="B27" s="38"/>
      <c r="C27" s="39"/>
    </row>
    <row r="28" spans="2:3" x14ac:dyDescent="0.3">
      <c r="B28" s="40" t="s">
        <v>53</v>
      </c>
      <c r="C28" s="41"/>
    </row>
    <row r="29" spans="2:3" ht="55.2" x14ac:dyDescent="0.3">
      <c r="B29" s="38"/>
      <c r="C29" s="39" t="s">
        <v>75</v>
      </c>
    </row>
    <row r="30" spans="2:3" ht="9.75" customHeight="1" x14ac:dyDescent="0.3">
      <c r="B30" s="38"/>
      <c r="C30" s="39"/>
    </row>
    <row r="31" spans="2:3" ht="15" customHeight="1" x14ac:dyDescent="0.3">
      <c r="B31" s="40" t="s">
        <v>84</v>
      </c>
      <c r="C31" s="41"/>
    </row>
    <row r="32" spans="2:3" ht="37.35" customHeight="1" x14ac:dyDescent="0.3">
      <c r="B32" s="38"/>
      <c r="C32" s="39" t="s">
        <v>83</v>
      </c>
    </row>
    <row r="33" spans="2:3" ht="9.75" customHeight="1" x14ac:dyDescent="0.3">
      <c r="B33" s="38"/>
      <c r="C33" s="39"/>
    </row>
    <row r="34" spans="2:3" x14ac:dyDescent="0.3">
      <c r="B34" s="36" t="s">
        <v>25</v>
      </c>
      <c r="C34" s="41"/>
    </row>
    <row r="35" spans="2:3" ht="41.4" x14ac:dyDescent="0.3">
      <c r="B35" s="38"/>
      <c r="C35" s="39" t="s">
        <v>56</v>
      </c>
    </row>
    <row r="36" spans="2:3" ht="30.75" customHeight="1" x14ac:dyDescent="0.3">
      <c r="B36" s="42"/>
      <c r="C36" s="43"/>
    </row>
    <row r="37" spans="2:3" x14ac:dyDescent="0.3">
      <c r="B37" s="42"/>
      <c r="C37" s="43"/>
    </row>
    <row r="38" spans="2:3" x14ac:dyDescent="0.3">
      <c r="B38" s="42"/>
      <c r="C38" s="43"/>
    </row>
  </sheetData>
  <mergeCells count="1">
    <mergeCell ref="B2:C2"/>
  </mergeCells>
  <phoneticPr fontId="12"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14FF1-036E-4CDB-95FC-A6E8F344BDB0}">
  <sheetPr codeName="Sheet9"/>
  <dimension ref="A1:K161"/>
  <sheetViews>
    <sheetView zoomScale="90" zoomScaleNormal="90" workbookViewId="0">
      <pane xSplit="1" ySplit="1" topLeftCell="B49" activePane="bottomRight" state="frozen"/>
      <selection activeCell="B26" sqref="B26"/>
      <selection pane="topRight" activeCell="B26" sqref="B26"/>
      <selection pane="bottomLeft" activeCell="B26" sqref="B26"/>
      <selection pane="bottomRight" activeCell="B49" sqref="B49"/>
    </sheetView>
  </sheetViews>
  <sheetFormatPr defaultColWidth="8.88671875" defaultRowHeight="14.4" outlineLevelRow="1" x14ac:dyDescent="0.3"/>
  <cols>
    <col min="1" max="1" width="10.5546875" style="137" customWidth="1"/>
    <col min="2" max="2" width="125.44140625" style="137" bestFit="1" customWidth="1"/>
    <col min="3" max="3" width="15.109375" style="137" customWidth="1"/>
    <col min="4" max="4" width="29.44140625" style="137" customWidth="1"/>
    <col min="5" max="5" width="43.44140625" style="137" customWidth="1"/>
    <col min="6" max="6" width="63.109375" style="137" customWidth="1"/>
    <col min="7" max="7" width="25.109375" style="137" bestFit="1" customWidth="1"/>
    <col min="8" max="8" width="25.109375" style="137" customWidth="1"/>
    <col min="9" max="9" width="12.5546875" style="137" customWidth="1"/>
    <col min="10" max="10" width="43.5546875" style="137" customWidth="1"/>
    <col min="11" max="16384" width="8.88671875" style="137"/>
  </cols>
  <sheetData>
    <row r="1" spans="1:11" ht="29.25" customHeight="1" x14ac:dyDescent="0.3">
      <c r="A1" s="133" t="s">
        <v>6</v>
      </c>
      <c r="B1" s="133" t="s">
        <v>101</v>
      </c>
      <c r="C1" s="133" t="s">
        <v>102</v>
      </c>
      <c r="D1" s="133" t="s">
        <v>103</v>
      </c>
      <c r="E1" s="133" t="s">
        <v>104</v>
      </c>
      <c r="F1" s="133" t="s">
        <v>105</v>
      </c>
      <c r="G1" s="134" t="s">
        <v>106</v>
      </c>
      <c r="H1" s="134" t="s">
        <v>107</v>
      </c>
      <c r="I1" s="135" t="s">
        <v>108</v>
      </c>
      <c r="J1" s="136" t="s">
        <v>109</v>
      </c>
    </row>
    <row r="2" spans="1:11" ht="15.75" customHeight="1" x14ac:dyDescent="0.3">
      <c r="A2" s="138" t="s">
        <v>110</v>
      </c>
      <c r="B2" s="139" t="s">
        <v>111</v>
      </c>
      <c r="C2" s="140"/>
      <c r="D2" s="140"/>
      <c r="E2" s="140"/>
      <c r="F2" s="140"/>
      <c r="G2" s="140"/>
      <c r="H2" s="140"/>
      <c r="I2" s="140"/>
      <c r="J2" s="141"/>
      <c r="K2" s="142"/>
    </row>
    <row r="3" spans="1:11" ht="78" hidden="1" outlineLevel="1" x14ac:dyDescent="0.3">
      <c r="A3" s="138" t="s">
        <v>112</v>
      </c>
      <c r="B3" s="143" t="s">
        <v>113</v>
      </c>
      <c r="C3" s="144" t="s">
        <v>114</v>
      </c>
      <c r="D3" s="144" t="s">
        <v>115</v>
      </c>
      <c r="E3" s="144" t="s">
        <v>116</v>
      </c>
      <c r="F3" s="145" t="s">
        <v>117</v>
      </c>
      <c r="G3" s="140"/>
      <c r="H3" s="140"/>
      <c r="I3" s="140"/>
      <c r="J3" s="141"/>
      <c r="K3" s="142"/>
    </row>
    <row r="4" spans="1:11" ht="14.4" hidden="1" customHeight="1" outlineLevel="1" x14ac:dyDescent="0.3">
      <c r="A4" s="138" t="s">
        <v>112</v>
      </c>
      <c r="B4" s="143" t="s">
        <v>118</v>
      </c>
      <c r="C4" s="140"/>
      <c r="D4" s="146" t="s">
        <v>115</v>
      </c>
      <c r="E4" s="140"/>
      <c r="F4" s="140"/>
      <c r="G4" s="140"/>
      <c r="H4" s="140"/>
      <c r="I4" s="140"/>
      <c r="J4" s="141"/>
      <c r="K4" s="142"/>
    </row>
    <row r="5" spans="1:11" ht="14.4" hidden="1" customHeight="1" outlineLevel="1" x14ac:dyDescent="0.3">
      <c r="A5" s="138" t="s">
        <v>112</v>
      </c>
      <c r="B5" s="143" t="s">
        <v>119</v>
      </c>
      <c r="C5" s="140"/>
      <c r="D5" s="146" t="s">
        <v>115</v>
      </c>
      <c r="E5" s="140"/>
      <c r="F5" s="140"/>
      <c r="G5" s="140"/>
      <c r="H5" s="140"/>
      <c r="I5" s="140"/>
      <c r="J5" s="141"/>
      <c r="K5" s="142"/>
    </row>
    <row r="6" spans="1:11" ht="14.4" hidden="1" customHeight="1" outlineLevel="1" x14ac:dyDescent="0.3">
      <c r="A6" s="138" t="s">
        <v>110</v>
      </c>
      <c r="B6" s="143" t="s">
        <v>120</v>
      </c>
      <c r="C6" s="140"/>
      <c r="D6" s="140"/>
      <c r="E6" s="140"/>
      <c r="F6" s="140"/>
      <c r="G6" s="140"/>
      <c r="H6" s="140"/>
      <c r="I6" s="140"/>
      <c r="J6" s="141"/>
      <c r="K6" s="142"/>
    </row>
    <row r="7" spans="1:11" ht="14.4" hidden="1" customHeight="1" outlineLevel="1" x14ac:dyDescent="0.3">
      <c r="A7" s="138" t="s">
        <v>112</v>
      </c>
      <c r="B7" s="143" t="s">
        <v>121</v>
      </c>
      <c r="C7" s="140"/>
      <c r="D7" s="146" t="s">
        <v>115</v>
      </c>
      <c r="E7" s="140"/>
      <c r="F7" s="140"/>
      <c r="G7" s="140"/>
      <c r="H7" s="140"/>
      <c r="I7" s="140"/>
      <c r="J7" s="141"/>
      <c r="K7" s="142"/>
    </row>
    <row r="8" spans="1:11" ht="18.600000000000001" customHeight="1" collapsed="1" x14ac:dyDescent="0.3">
      <c r="A8" s="138" t="s">
        <v>122</v>
      </c>
      <c r="B8" s="139" t="s">
        <v>123</v>
      </c>
      <c r="C8" s="140"/>
      <c r="D8" s="140" t="s">
        <v>124</v>
      </c>
      <c r="E8" s="140"/>
      <c r="F8" s="140"/>
      <c r="G8" s="140"/>
      <c r="H8" s="140"/>
      <c r="I8" s="140"/>
      <c r="J8" s="141"/>
      <c r="K8" s="142"/>
    </row>
    <row r="9" spans="1:11" s="151" customFormat="1" ht="374.4" hidden="1" outlineLevel="1" x14ac:dyDescent="0.25">
      <c r="A9" s="138" t="s">
        <v>125</v>
      </c>
      <c r="B9" s="147" t="s">
        <v>126</v>
      </c>
      <c r="C9" s="148" t="s">
        <v>127</v>
      </c>
      <c r="D9" s="148"/>
      <c r="E9" s="148" t="s">
        <v>128</v>
      </c>
      <c r="F9" s="148" t="s">
        <v>129</v>
      </c>
      <c r="G9" s="148" t="s">
        <v>130</v>
      </c>
      <c r="H9" s="148"/>
      <c r="I9" s="148"/>
      <c r="J9" s="149">
        <v>1</v>
      </c>
      <c r="K9" s="150" t="s">
        <v>131</v>
      </c>
    </row>
    <row r="10" spans="1:11" ht="14.4" hidden="1" customHeight="1" outlineLevel="1" x14ac:dyDescent="0.3">
      <c r="A10" s="138" t="s">
        <v>132</v>
      </c>
      <c r="B10" s="143" t="s">
        <v>133</v>
      </c>
      <c r="C10" s="140"/>
      <c r="D10" s="140"/>
      <c r="E10" s="140"/>
      <c r="F10" s="140"/>
      <c r="G10" s="140"/>
      <c r="H10" s="140" t="s">
        <v>134</v>
      </c>
      <c r="I10" s="140"/>
      <c r="J10" s="141"/>
      <c r="K10" s="142" t="s">
        <v>135</v>
      </c>
    </row>
    <row r="11" spans="1:11" ht="18.600000000000001" customHeight="1" collapsed="1" x14ac:dyDescent="0.3">
      <c r="A11" s="138" t="s">
        <v>136</v>
      </c>
      <c r="B11" s="152" t="s">
        <v>137</v>
      </c>
      <c r="C11" s="140"/>
      <c r="D11" s="140"/>
      <c r="E11" s="140"/>
      <c r="F11" s="140"/>
      <c r="G11" s="140"/>
      <c r="H11" s="140"/>
      <c r="I11" s="140"/>
      <c r="J11" s="141"/>
      <c r="K11" s="142"/>
    </row>
    <row r="12" spans="1:11" ht="14.4" hidden="1" customHeight="1" outlineLevel="1" x14ac:dyDescent="0.3">
      <c r="A12" s="138" t="s">
        <v>138</v>
      </c>
      <c r="B12" s="143" t="s">
        <v>139</v>
      </c>
      <c r="C12" s="140"/>
      <c r="D12" s="140" t="s">
        <v>140</v>
      </c>
      <c r="E12" s="140"/>
      <c r="F12" s="140"/>
      <c r="G12" s="140"/>
      <c r="H12" s="140"/>
      <c r="I12" s="140"/>
      <c r="J12" s="141"/>
      <c r="K12" s="142"/>
    </row>
    <row r="13" spans="1:11" ht="14.4" hidden="1" customHeight="1" outlineLevel="1" x14ac:dyDescent="0.3">
      <c r="A13" s="138" t="s">
        <v>141</v>
      </c>
      <c r="B13" s="143" t="s">
        <v>142</v>
      </c>
      <c r="C13" s="140"/>
      <c r="D13" s="140" t="s">
        <v>140</v>
      </c>
      <c r="E13" s="140"/>
      <c r="F13" s="140"/>
      <c r="G13" s="140"/>
      <c r="H13" s="140"/>
      <c r="I13" s="140"/>
      <c r="J13" s="141"/>
      <c r="K13" s="142"/>
    </row>
    <row r="14" spans="1:11" ht="18.600000000000001" customHeight="1" collapsed="1" x14ac:dyDescent="0.3">
      <c r="A14" s="138" t="s">
        <v>143</v>
      </c>
      <c r="B14" s="152" t="s">
        <v>144</v>
      </c>
      <c r="C14" s="140"/>
      <c r="D14" s="140"/>
      <c r="E14" s="140"/>
      <c r="F14" s="140"/>
      <c r="G14" s="140"/>
      <c r="H14" s="140"/>
      <c r="I14" s="140"/>
      <c r="J14" s="141"/>
      <c r="K14" s="142"/>
    </row>
    <row r="15" spans="1:11" ht="14.4" hidden="1" customHeight="1" outlineLevel="1" x14ac:dyDescent="0.3">
      <c r="A15" s="138" t="s">
        <v>145</v>
      </c>
      <c r="B15" s="143" t="s">
        <v>146</v>
      </c>
      <c r="C15" s="140"/>
      <c r="D15" s="140" t="s">
        <v>147</v>
      </c>
      <c r="E15" s="140"/>
      <c r="F15" s="140"/>
      <c r="G15" s="140"/>
      <c r="H15" s="140"/>
      <c r="I15" s="140"/>
      <c r="J15" s="141"/>
      <c r="K15" s="142"/>
    </row>
    <row r="16" spans="1:11" ht="14.4" hidden="1" customHeight="1" outlineLevel="1" x14ac:dyDescent="0.3">
      <c r="A16" s="138" t="s">
        <v>148</v>
      </c>
      <c r="B16" s="143" t="s">
        <v>149</v>
      </c>
      <c r="C16" s="140"/>
      <c r="D16" s="140" t="s">
        <v>147</v>
      </c>
      <c r="E16" s="140"/>
      <c r="F16" s="140"/>
      <c r="G16" s="140"/>
      <c r="H16" s="140"/>
      <c r="I16" s="140"/>
      <c r="J16" s="141"/>
      <c r="K16" s="142"/>
    </row>
    <row r="17" spans="1:11" ht="27.75" customHeight="1" collapsed="1" x14ac:dyDescent="0.3">
      <c r="A17" s="138" t="s">
        <v>150</v>
      </c>
      <c r="B17" s="224" t="s">
        <v>151</v>
      </c>
      <c r="C17" s="224"/>
      <c r="D17" s="224"/>
      <c r="E17" s="224"/>
      <c r="F17" s="224"/>
      <c r="G17" s="224"/>
      <c r="H17" s="224"/>
      <c r="I17" s="224"/>
      <c r="J17" s="224"/>
      <c r="K17" s="142"/>
    </row>
    <row r="18" spans="1:11" s="151" customFormat="1" ht="36" hidden="1" customHeight="1" outlineLevel="1" x14ac:dyDescent="0.25">
      <c r="A18" s="138" t="s">
        <v>152</v>
      </c>
      <c r="B18" s="147" t="s">
        <v>153</v>
      </c>
      <c r="C18" s="148" t="s">
        <v>154</v>
      </c>
      <c r="D18" s="148" t="s">
        <v>147</v>
      </c>
      <c r="E18" s="148" t="s">
        <v>155</v>
      </c>
      <c r="F18" s="148" t="s">
        <v>156</v>
      </c>
      <c r="G18" s="148" t="s">
        <v>157</v>
      </c>
      <c r="H18" s="148"/>
      <c r="I18" s="148"/>
      <c r="J18" s="149" t="s">
        <v>158</v>
      </c>
      <c r="K18" s="153"/>
    </row>
    <row r="19" spans="1:11" s="151" customFormat="1" ht="149.25" hidden="1" customHeight="1" outlineLevel="1" x14ac:dyDescent="0.25">
      <c r="A19" s="138" t="s">
        <v>159</v>
      </c>
      <c r="B19" s="147" t="s">
        <v>160</v>
      </c>
      <c r="C19" s="148" t="s">
        <v>127</v>
      </c>
      <c r="D19" s="148" t="s">
        <v>147</v>
      </c>
      <c r="E19" s="148" t="s">
        <v>161</v>
      </c>
      <c r="F19" s="147" t="s">
        <v>117</v>
      </c>
      <c r="G19" s="148" t="s">
        <v>162</v>
      </c>
      <c r="H19" s="148"/>
      <c r="I19" s="148"/>
      <c r="J19" s="149">
        <v>1</v>
      </c>
      <c r="K19" s="153"/>
    </row>
    <row r="20" spans="1:11" s="151" customFormat="1" ht="25.2" hidden="1" outlineLevel="1" x14ac:dyDescent="0.25">
      <c r="A20" s="138" t="s">
        <v>163</v>
      </c>
      <c r="B20" s="147" t="s">
        <v>164</v>
      </c>
      <c r="C20" s="148" t="s">
        <v>165</v>
      </c>
      <c r="D20" s="148" t="s">
        <v>124</v>
      </c>
      <c r="E20" s="148"/>
      <c r="F20" s="148"/>
      <c r="G20" s="148"/>
      <c r="H20" s="148"/>
      <c r="I20" s="148"/>
      <c r="J20" s="149">
        <v>2</v>
      </c>
      <c r="K20" s="153"/>
    </row>
    <row r="21" spans="1:11" s="151" customFormat="1" ht="93.6" hidden="1" outlineLevel="1" x14ac:dyDescent="0.25">
      <c r="A21" s="138" t="s">
        <v>166</v>
      </c>
      <c r="B21" s="147" t="s">
        <v>167</v>
      </c>
      <c r="C21" s="148" t="s">
        <v>168</v>
      </c>
      <c r="D21" s="148" t="s">
        <v>124</v>
      </c>
      <c r="E21" s="148" t="s">
        <v>169</v>
      </c>
      <c r="F21" s="148" t="s">
        <v>129</v>
      </c>
      <c r="G21" s="148" t="s">
        <v>170</v>
      </c>
      <c r="H21" s="148"/>
      <c r="I21" s="148"/>
      <c r="J21" s="149" t="s">
        <v>158</v>
      </c>
      <c r="K21" s="153"/>
    </row>
    <row r="22" spans="1:11" s="151" customFormat="1" ht="62.4" hidden="1" outlineLevel="1" x14ac:dyDescent="0.25">
      <c r="A22" s="138" t="s">
        <v>171</v>
      </c>
      <c r="B22" s="154" t="s">
        <v>172</v>
      </c>
      <c r="C22" s="148"/>
      <c r="D22" s="148" t="s">
        <v>173</v>
      </c>
      <c r="E22" s="148" t="s">
        <v>174</v>
      </c>
      <c r="F22" s="148" t="s">
        <v>175</v>
      </c>
      <c r="G22" s="148" t="s">
        <v>176</v>
      </c>
      <c r="H22" s="148"/>
      <c r="I22" s="148"/>
      <c r="J22" s="149"/>
      <c r="K22" s="153"/>
    </row>
    <row r="23" spans="1:11" s="151" customFormat="1" ht="25.2" collapsed="1" x14ac:dyDescent="0.25">
      <c r="A23" s="155"/>
      <c r="B23" s="156" t="s">
        <v>177</v>
      </c>
      <c r="C23" s="157"/>
      <c r="D23" s="157"/>
      <c r="E23" s="157"/>
      <c r="F23" s="157"/>
      <c r="G23" s="157"/>
      <c r="H23" s="157"/>
      <c r="I23" s="158"/>
      <c r="J23" s="159"/>
    </row>
    <row r="24" spans="1:11" s="151" customFormat="1" ht="62.4" x14ac:dyDescent="0.25">
      <c r="A24" s="155" t="s">
        <v>178</v>
      </c>
      <c r="B24" s="182" t="s">
        <v>179</v>
      </c>
      <c r="C24" s="157" t="s">
        <v>165</v>
      </c>
      <c r="D24" s="157" t="s">
        <v>180</v>
      </c>
      <c r="E24" s="157" t="s">
        <v>181</v>
      </c>
      <c r="F24" s="157" t="s">
        <v>182</v>
      </c>
      <c r="G24" s="160">
        <v>43306</v>
      </c>
      <c r="H24" s="157"/>
      <c r="I24" s="158"/>
      <c r="J24" s="159" t="s">
        <v>183</v>
      </c>
    </row>
    <row r="25" spans="1:11" s="151" customFormat="1" ht="93.6" x14ac:dyDescent="0.25">
      <c r="A25" s="155" t="s">
        <v>178</v>
      </c>
      <c r="B25" s="157" t="s">
        <v>184</v>
      </c>
      <c r="C25" s="157" t="s">
        <v>165</v>
      </c>
      <c r="D25" s="157" t="s">
        <v>185</v>
      </c>
      <c r="E25" s="157" t="s">
        <v>181</v>
      </c>
      <c r="F25" s="157" t="s">
        <v>186</v>
      </c>
      <c r="G25" s="160">
        <v>43314</v>
      </c>
      <c r="H25" s="157"/>
      <c r="I25" s="158"/>
      <c r="J25" s="159" t="s">
        <v>187</v>
      </c>
    </row>
    <row r="26" spans="1:11" s="151" customFormat="1" ht="25.2" x14ac:dyDescent="0.25">
      <c r="A26" s="155" t="s">
        <v>178</v>
      </c>
      <c r="B26" s="157" t="s">
        <v>188</v>
      </c>
      <c r="C26" s="157" t="s">
        <v>165</v>
      </c>
      <c r="D26" s="157"/>
      <c r="E26" s="157"/>
      <c r="F26" s="157"/>
      <c r="G26" s="157"/>
      <c r="H26" s="157"/>
      <c r="I26" s="158"/>
      <c r="J26" s="159" t="s">
        <v>189</v>
      </c>
    </row>
    <row r="27" spans="1:11" s="151" customFormat="1" ht="46.8" x14ac:dyDescent="0.25">
      <c r="A27" s="155" t="s">
        <v>178</v>
      </c>
      <c r="B27" s="157" t="s">
        <v>190</v>
      </c>
      <c r="C27" s="157" t="s">
        <v>165</v>
      </c>
      <c r="D27" s="157" t="s">
        <v>191</v>
      </c>
      <c r="E27" s="157" t="s">
        <v>181</v>
      </c>
      <c r="F27" s="157" t="s">
        <v>192</v>
      </c>
      <c r="G27" s="160">
        <v>43314</v>
      </c>
      <c r="H27" s="157"/>
      <c r="I27" s="158"/>
      <c r="J27" s="159" t="s">
        <v>193</v>
      </c>
    </row>
    <row r="28" spans="1:11" s="151" customFormat="1" ht="109.2" x14ac:dyDescent="0.25">
      <c r="A28" s="155" t="s">
        <v>178</v>
      </c>
      <c r="B28" s="157" t="s">
        <v>194</v>
      </c>
      <c r="C28" s="157" t="s">
        <v>165</v>
      </c>
      <c r="D28" s="157" t="s">
        <v>195</v>
      </c>
      <c r="E28" s="157" t="s">
        <v>196</v>
      </c>
      <c r="F28" s="157"/>
      <c r="G28" s="160">
        <v>43318</v>
      </c>
      <c r="H28" s="157"/>
      <c r="I28" s="158"/>
      <c r="J28" s="159" t="s">
        <v>197</v>
      </c>
    </row>
    <row r="29" spans="1:11" s="151" customFormat="1" ht="25.2" x14ac:dyDescent="0.25">
      <c r="A29" s="155" t="s">
        <v>178</v>
      </c>
      <c r="B29" s="157" t="s">
        <v>198</v>
      </c>
      <c r="C29" s="157" t="s">
        <v>165</v>
      </c>
      <c r="D29" s="157"/>
      <c r="E29" s="157"/>
      <c r="F29" s="157"/>
      <c r="G29" s="157"/>
      <c r="H29" s="157"/>
      <c r="I29" s="158"/>
      <c r="J29" s="159" t="s">
        <v>199</v>
      </c>
    </row>
    <row r="30" spans="1:11" s="151" customFormat="1" ht="46.8" x14ac:dyDescent="0.25">
      <c r="A30" s="155" t="s">
        <v>178</v>
      </c>
      <c r="B30" s="157" t="s">
        <v>200</v>
      </c>
      <c r="C30" s="157" t="s">
        <v>127</v>
      </c>
      <c r="D30" s="157" t="s">
        <v>201</v>
      </c>
      <c r="E30" s="157" t="s">
        <v>202</v>
      </c>
      <c r="F30" s="157"/>
      <c r="G30" s="160">
        <v>43325</v>
      </c>
      <c r="H30" s="157"/>
      <c r="I30" s="158"/>
      <c r="J30" s="159" t="s">
        <v>203</v>
      </c>
    </row>
    <row r="31" spans="1:11" ht="27.75" customHeight="1" x14ac:dyDescent="0.3">
      <c r="A31" s="161" t="s">
        <v>178</v>
      </c>
      <c r="B31" s="223" t="s">
        <v>151</v>
      </c>
      <c r="C31" s="223"/>
      <c r="D31" s="223"/>
      <c r="E31" s="223"/>
      <c r="F31" s="223"/>
      <c r="G31" s="223"/>
      <c r="H31" s="223"/>
      <c r="I31" s="223"/>
      <c r="J31" s="142"/>
    </row>
    <row r="32" spans="1:11" s="151" customFormat="1" ht="46.8" x14ac:dyDescent="0.25">
      <c r="A32" s="161" t="s">
        <v>178</v>
      </c>
      <c r="B32" s="147" t="s">
        <v>204</v>
      </c>
      <c r="C32" s="148" t="s">
        <v>205</v>
      </c>
      <c r="D32" s="148" t="s">
        <v>206</v>
      </c>
      <c r="E32" s="148" t="s">
        <v>207</v>
      </c>
      <c r="F32" s="148" t="s">
        <v>208</v>
      </c>
      <c r="G32" s="148"/>
      <c r="H32" s="148"/>
      <c r="I32" s="149">
        <v>2</v>
      </c>
      <c r="J32" s="153"/>
    </row>
    <row r="33" spans="1:11" s="151" customFormat="1" ht="46.8" x14ac:dyDescent="0.25">
      <c r="A33" s="161" t="s">
        <v>178</v>
      </c>
      <c r="B33" s="147" t="s">
        <v>209</v>
      </c>
      <c r="C33" s="148" t="s">
        <v>210</v>
      </c>
      <c r="D33" s="148" t="s">
        <v>211</v>
      </c>
      <c r="E33" s="148" t="s">
        <v>129</v>
      </c>
      <c r="F33" s="148" t="s">
        <v>130</v>
      </c>
      <c r="G33" s="148"/>
      <c r="H33" s="148"/>
      <c r="I33" s="149">
        <v>3</v>
      </c>
      <c r="J33" s="153"/>
    </row>
    <row r="34" spans="1:11" s="151" customFormat="1" ht="31.2" x14ac:dyDescent="0.25">
      <c r="A34" s="161" t="s">
        <v>178</v>
      </c>
      <c r="B34" s="147" t="s">
        <v>212</v>
      </c>
      <c r="C34" s="148" t="s">
        <v>213</v>
      </c>
      <c r="D34" s="148" t="s">
        <v>214</v>
      </c>
      <c r="E34" s="148" t="s">
        <v>129</v>
      </c>
      <c r="F34" s="148" t="s">
        <v>215</v>
      </c>
      <c r="G34" s="148"/>
      <c r="H34" s="148"/>
      <c r="I34" s="149">
        <v>5</v>
      </c>
      <c r="J34" s="153"/>
    </row>
    <row r="35" spans="1:11" s="151" customFormat="1" ht="31.2" x14ac:dyDescent="0.25">
      <c r="A35" s="161" t="s">
        <v>178</v>
      </c>
      <c r="B35" s="147" t="s">
        <v>216</v>
      </c>
      <c r="C35" s="148" t="s">
        <v>213</v>
      </c>
      <c r="D35" s="148" t="s">
        <v>214</v>
      </c>
      <c r="E35" s="148" t="s">
        <v>217</v>
      </c>
      <c r="F35" s="148" t="s">
        <v>215</v>
      </c>
      <c r="G35" s="148"/>
      <c r="H35" s="148"/>
      <c r="I35" s="149">
        <v>5</v>
      </c>
      <c r="J35" s="153"/>
    </row>
    <row r="36" spans="1:11" ht="27.75" customHeight="1" x14ac:dyDescent="0.3">
      <c r="A36" s="162" t="s">
        <v>218</v>
      </c>
      <c r="B36" s="223" t="s">
        <v>151</v>
      </c>
      <c r="C36" s="223"/>
      <c r="D36" s="223"/>
      <c r="E36" s="223"/>
      <c r="F36" s="223"/>
      <c r="G36" s="223"/>
      <c r="H36" s="163"/>
      <c r="I36" s="163"/>
      <c r="J36" s="164"/>
      <c r="K36" s="142"/>
    </row>
    <row r="37" spans="1:11" ht="31.2" x14ac:dyDescent="0.3">
      <c r="A37" s="162" t="s">
        <v>218</v>
      </c>
      <c r="B37" s="147" t="s">
        <v>219</v>
      </c>
      <c r="C37" s="148" t="s">
        <v>213</v>
      </c>
      <c r="D37" s="148"/>
      <c r="E37" s="148" t="s">
        <v>214</v>
      </c>
      <c r="F37" s="148" t="s">
        <v>217</v>
      </c>
      <c r="G37" s="148" t="s">
        <v>215</v>
      </c>
      <c r="H37" s="148"/>
      <c r="I37" s="148"/>
      <c r="J37" s="149">
        <v>5</v>
      </c>
      <c r="K37" s="142"/>
    </row>
    <row r="38" spans="1:11" ht="31.2" x14ac:dyDescent="0.3">
      <c r="A38" s="162" t="s">
        <v>218</v>
      </c>
      <c r="B38" s="147" t="s">
        <v>220</v>
      </c>
      <c r="C38" s="148" t="s">
        <v>213</v>
      </c>
      <c r="D38" s="148"/>
      <c r="E38" s="148" t="s">
        <v>214</v>
      </c>
      <c r="F38" s="148" t="s">
        <v>217</v>
      </c>
      <c r="G38" s="148" t="s">
        <v>215</v>
      </c>
      <c r="H38" s="148"/>
      <c r="I38" s="148"/>
      <c r="J38" s="149">
        <v>5</v>
      </c>
      <c r="K38" s="142"/>
    </row>
    <row r="39" spans="1:11" s="151" customFormat="1" ht="46.8" x14ac:dyDescent="0.25">
      <c r="A39" s="162" t="s">
        <v>218</v>
      </c>
      <c r="B39" s="147" t="s">
        <v>221</v>
      </c>
      <c r="C39" s="148" t="s">
        <v>222</v>
      </c>
      <c r="D39" s="148"/>
      <c r="E39" s="148" t="s">
        <v>223</v>
      </c>
      <c r="F39" s="148" t="s">
        <v>217</v>
      </c>
      <c r="G39" s="148" t="s">
        <v>224</v>
      </c>
      <c r="H39" s="148"/>
      <c r="I39" s="148"/>
      <c r="J39" s="149">
        <v>5</v>
      </c>
      <c r="K39" s="153"/>
    </row>
    <row r="40" spans="1:11" ht="27.75" customHeight="1" x14ac:dyDescent="0.3">
      <c r="A40" s="162" t="s">
        <v>225</v>
      </c>
      <c r="B40" s="223" t="s">
        <v>151</v>
      </c>
      <c r="C40" s="223"/>
      <c r="D40" s="223"/>
      <c r="E40" s="223"/>
      <c r="F40" s="223"/>
      <c r="G40" s="223"/>
      <c r="H40" s="163"/>
      <c r="I40" s="163"/>
      <c r="J40" s="164"/>
      <c r="K40" s="142"/>
    </row>
    <row r="41" spans="1:11" ht="46.8" x14ac:dyDescent="0.3">
      <c r="A41" s="162" t="s">
        <v>225</v>
      </c>
      <c r="B41" s="147" t="s">
        <v>226</v>
      </c>
      <c r="C41" s="148" t="s">
        <v>222</v>
      </c>
      <c r="D41" s="148"/>
      <c r="E41" s="148" t="s">
        <v>223</v>
      </c>
      <c r="F41" s="148" t="s">
        <v>217</v>
      </c>
      <c r="G41" s="148" t="s">
        <v>224</v>
      </c>
      <c r="H41" s="148"/>
      <c r="I41" s="148"/>
      <c r="J41" s="149">
        <v>5</v>
      </c>
      <c r="K41" s="142"/>
    </row>
    <row r="42" spans="1:11" ht="15" customHeight="1" x14ac:dyDescent="0.3">
      <c r="A42" s="165" t="s">
        <v>227</v>
      </c>
      <c r="B42" s="166" t="s">
        <v>228</v>
      </c>
      <c r="C42" s="140"/>
      <c r="D42" s="140"/>
      <c r="E42" s="140"/>
      <c r="F42" s="140"/>
      <c r="G42" s="140"/>
      <c r="H42" s="140"/>
      <c r="I42" s="141"/>
    </row>
    <row r="43" spans="1:11" ht="15.6" x14ac:dyDescent="0.3">
      <c r="A43" s="165" t="s">
        <v>227</v>
      </c>
      <c r="B43" s="143" t="s">
        <v>229</v>
      </c>
      <c r="C43" s="140"/>
      <c r="D43" s="140"/>
      <c r="E43" s="140"/>
      <c r="F43" s="140"/>
      <c r="G43" s="140"/>
      <c r="H43" s="140"/>
      <c r="I43" s="141"/>
    </row>
    <row r="44" spans="1:11" ht="15.6" x14ac:dyDescent="0.3">
      <c r="A44" s="165" t="s">
        <v>227</v>
      </c>
      <c r="B44" s="143" t="s">
        <v>230</v>
      </c>
      <c r="C44" s="140"/>
      <c r="D44" s="140"/>
      <c r="E44" s="140"/>
      <c r="F44" s="140"/>
      <c r="G44" s="140"/>
      <c r="H44" s="140"/>
      <c r="I44" s="141"/>
    </row>
    <row r="45" spans="1:11" ht="15.6" x14ac:dyDescent="0.3">
      <c r="A45" s="165" t="s">
        <v>227</v>
      </c>
      <c r="B45" s="143" t="s">
        <v>231</v>
      </c>
      <c r="C45" s="140"/>
      <c r="D45" s="140"/>
      <c r="E45" s="140"/>
      <c r="F45" s="140"/>
      <c r="G45" s="140"/>
      <c r="H45" s="140"/>
      <c r="I45" s="141"/>
    </row>
    <row r="46" spans="1:11" ht="15.6" x14ac:dyDescent="0.3">
      <c r="A46" s="165" t="s">
        <v>227</v>
      </c>
      <c r="B46" s="143" t="s">
        <v>232</v>
      </c>
      <c r="C46" s="140"/>
      <c r="D46" s="140"/>
      <c r="E46" s="140"/>
      <c r="F46" s="140"/>
      <c r="G46" s="140"/>
      <c r="H46" s="140"/>
      <c r="I46" s="141"/>
    </row>
    <row r="47" spans="1:11" ht="15.6" x14ac:dyDescent="0.3">
      <c r="A47" s="165" t="s">
        <v>227</v>
      </c>
      <c r="B47" s="143" t="s">
        <v>233</v>
      </c>
      <c r="C47" s="140"/>
      <c r="D47" s="140"/>
      <c r="E47" s="140"/>
      <c r="F47" s="140"/>
      <c r="G47" s="140"/>
      <c r="H47" s="140"/>
      <c r="I47" s="141"/>
    </row>
    <row r="48" spans="1:11" ht="15.6" x14ac:dyDescent="0.3">
      <c r="A48" s="165" t="s">
        <v>227</v>
      </c>
      <c r="B48" s="139" t="s">
        <v>234</v>
      </c>
      <c r="C48" s="140"/>
      <c r="D48" s="140"/>
      <c r="E48" s="140"/>
      <c r="F48" s="140"/>
      <c r="G48" s="140"/>
      <c r="H48" s="140"/>
      <c r="I48" s="141"/>
    </row>
    <row r="49" spans="1:9" ht="15.6" x14ac:dyDescent="0.3">
      <c r="A49" s="165" t="s">
        <v>227</v>
      </c>
      <c r="B49" s="143" t="s">
        <v>235</v>
      </c>
      <c r="C49" s="140"/>
      <c r="D49" s="140"/>
      <c r="E49" s="140"/>
      <c r="F49" s="140"/>
      <c r="G49" s="140"/>
      <c r="H49" s="140"/>
      <c r="I49" s="141"/>
    </row>
    <row r="50" spans="1:9" ht="15.6" x14ac:dyDescent="0.3">
      <c r="A50" s="165" t="s">
        <v>227</v>
      </c>
      <c r="B50" s="143" t="s">
        <v>236</v>
      </c>
      <c r="C50" s="140"/>
      <c r="D50" s="140"/>
      <c r="E50" s="140"/>
      <c r="F50" s="140"/>
      <c r="G50" s="140"/>
      <c r="H50" s="140"/>
      <c r="I50" s="141"/>
    </row>
    <row r="51" spans="1:9" ht="15.6" x14ac:dyDescent="0.3">
      <c r="A51" s="165" t="s">
        <v>227</v>
      </c>
      <c r="B51" s="143" t="s">
        <v>237</v>
      </c>
      <c r="C51" s="140"/>
      <c r="D51" s="140"/>
      <c r="E51" s="140"/>
      <c r="F51" s="140"/>
      <c r="G51" s="140"/>
      <c r="H51" s="140"/>
      <c r="I51" s="141"/>
    </row>
    <row r="52" spans="1:9" ht="15.6" x14ac:dyDescent="0.3">
      <c r="A52" s="165" t="s">
        <v>227</v>
      </c>
      <c r="B52" s="143" t="s">
        <v>238</v>
      </c>
      <c r="C52" s="140"/>
      <c r="D52" s="140"/>
      <c r="E52" s="140"/>
      <c r="F52" s="140"/>
      <c r="G52" s="140"/>
      <c r="H52" s="140"/>
      <c r="I52" s="141"/>
    </row>
    <row r="53" spans="1:9" ht="15.6" x14ac:dyDescent="0.3">
      <c r="A53" s="165" t="s">
        <v>227</v>
      </c>
      <c r="B53" s="143" t="s">
        <v>239</v>
      </c>
      <c r="C53" s="140"/>
      <c r="D53" s="140"/>
      <c r="E53" s="140"/>
      <c r="F53" s="140"/>
      <c r="G53" s="140"/>
      <c r="H53" s="140"/>
      <c r="I53" s="141"/>
    </row>
    <row r="54" spans="1:9" ht="15.6" x14ac:dyDescent="0.3">
      <c r="A54" s="165" t="s">
        <v>227</v>
      </c>
      <c r="B54" s="139" t="s">
        <v>240</v>
      </c>
      <c r="C54" s="140"/>
      <c r="D54" s="140"/>
      <c r="E54" s="140"/>
      <c r="F54" s="140"/>
      <c r="G54" s="140"/>
      <c r="H54" s="140"/>
      <c r="I54" s="141"/>
    </row>
    <row r="55" spans="1:9" ht="15.6" x14ac:dyDescent="0.3">
      <c r="A55" s="165" t="s">
        <v>227</v>
      </c>
      <c r="B55" s="143" t="s">
        <v>241</v>
      </c>
      <c r="C55" s="140"/>
      <c r="D55" s="140"/>
      <c r="E55" s="140"/>
      <c r="F55" s="140"/>
      <c r="G55" s="140"/>
      <c r="H55" s="140"/>
      <c r="I55" s="141"/>
    </row>
    <row r="56" spans="1:9" ht="15.6" x14ac:dyDescent="0.3">
      <c r="A56" s="165" t="s">
        <v>227</v>
      </c>
      <c r="B56" s="143" t="s">
        <v>242</v>
      </c>
      <c r="C56" s="140"/>
      <c r="D56" s="140"/>
      <c r="E56" s="140"/>
      <c r="F56" s="140"/>
      <c r="G56" s="140"/>
      <c r="H56" s="140"/>
      <c r="I56" s="141"/>
    </row>
    <row r="57" spans="1:9" ht="15.6" x14ac:dyDescent="0.3">
      <c r="A57" s="165" t="s">
        <v>227</v>
      </c>
      <c r="B57" s="139" t="s">
        <v>243</v>
      </c>
      <c r="C57" s="140"/>
      <c r="D57" s="140"/>
      <c r="E57" s="140"/>
      <c r="F57" s="140"/>
      <c r="G57" s="140"/>
      <c r="H57" s="140"/>
      <c r="I57" s="141"/>
    </row>
    <row r="58" spans="1:9" ht="15.6" x14ac:dyDescent="0.3">
      <c r="A58" s="165" t="s">
        <v>227</v>
      </c>
      <c r="B58" s="143" t="s">
        <v>244</v>
      </c>
      <c r="C58" s="140"/>
      <c r="D58" s="140"/>
      <c r="E58" s="140"/>
      <c r="F58" s="140"/>
      <c r="G58" s="140"/>
      <c r="H58" s="140"/>
      <c r="I58" s="141"/>
    </row>
    <row r="59" spans="1:9" ht="15.6" x14ac:dyDescent="0.3">
      <c r="A59" s="165" t="s">
        <v>227</v>
      </c>
      <c r="B59" s="143" t="s">
        <v>245</v>
      </c>
      <c r="C59" s="140"/>
      <c r="D59" s="140"/>
      <c r="E59" s="140"/>
      <c r="F59" s="140"/>
      <c r="G59" s="140"/>
      <c r="H59" s="140"/>
      <c r="I59" s="141"/>
    </row>
    <row r="60" spans="1:9" ht="15.6" x14ac:dyDescent="0.3">
      <c r="A60" s="165" t="s">
        <v>227</v>
      </c>
      <c r="B60" s="143" t="s">
        <v>246</v>
      </c>
      <c r="C60" s="140"/>
      <c r="D60" s="140"/>
      <c r="E60" s="140"/>
      <c r="F60" s="140"/>
      <c r="G60" s="140"/>
      <c r="H60" s="140"/>
      <c r="I60" s="141"/>
    </row>
    <row r="61" spans="1:9" ht="15.6" x14ac:dyDescent="0.3">
      <c r="A61" s="165" t="s">
        <v>227</v>
      </c>
      <c r="B61" s="143" t="s">
        <v>247</v>
      </c>
      <c r="C61" s="140"/>
      <c r="D61" s="140"/>
      <c r="E61" s="140"/>
      <c r="F61" s="140"/>
      <c r="G61" s="140"/>
      <c r="H61" s="140"/>
      <c r="I61" s="141"/>
    </row>
    <row r="62" spans="1:9" ht="18" x14ac:dyDescent="0.3">
      <c r="A62" s="165" t="s">
        <v>227</v>
      </c>
      <c r="B62" s="223" t="s">
        <v>151</v>
      </c>
      <c r="C62" s="223"/>
      <c r="D62" s="223"/>
      <c r="E62" s="223"/>
      <c r="F62" s="223"/>
      <c r="G62" s="163"/>
      <c r="H62" s="163"/>
      <c r="I62" s="164"/>
    </row>
    <row r="63" spans="1:9" ht="46.8" x14ac:dyDescent="0.3">
      <c r="A63" s="165" t="s">
        <v>227</v>
      </c>
      <c r="B63" s="147" t="s">
        <v>226</v>
      </c>
      <c r="C63" s="148" t="s">
        <v>222</v>
      </c>
      <c r="D63" s="148" t="s">
        <v>223</v>
      </c>
      <c r="E63" s="148" t="s">
        <v>217</v>
      </c>
      <c r="F63" s="148" t="s">
        <v>224</v>
      </c>
      <c r="G63" s="148"/>
      <c r="H63" s="148"/>
      <c r="I63" s="149">
        <v>5</v>
      </c>
    </row>
    <row r="64" spans="1:9" ht="15" customHeight="1" x14ac:dyDescent="0.3">
      <c r="A64" s="165" t="s">
        <v>248</v>
      </c>
      <c r="B64" s="166" t="s">
        <v>228</v>
      </c>
      <c r="C64" s="140"/>
      <c r="D64" s="140"/>
      <c r="E64" s="140"/>
      <c r="F64" s="140"/>
      <c r="G64" s="140"/>
      <c r="H64" s="140"/>
      <c r="I64" s="141"/>
    </row>
    <row r="65" spans="1:9" ht="15.6" x14ac:dyDescent="0.3">
      <c r="A65" s="165" t="s">
        <v>248</v>
      </c>
      <c r="B65" s="143" t="s">
        <v>229</v>
      </c>
      <c r="C65" s="140"/>
      <c r="D65" s="140"/>
      <c r="E65" s="140"/>
      <c r="F65" s="140"/>
      <c r="G65" s="140"/>
      <c r="H65" s="140"/>
      <c r="I65" s="141"/>
    </row>
    <row r="66" spans="1:9" ht="15.6" x14ac:dyDescent="0.3">
      <c r="A66" s="165" t="s">
        <v>248</v>
      </c>
      <c r="B66" s="143" t="s">
        <v>230</v>
      </c>
      <c r="C66" s="140"/>
      <c r="D66" s="140"/>
      <c r="E66" s="140"/>
      <c r="F66" s="140"/>
      <c r="G66" s="140"/>
      <c r="H66" s="140"/>
      <c r="I66" s="141"/>
    </row>
    <row r="67" spans="1:9" ht="15.6" x14ac:dyDescent="0.3">
      <c r="A67" s="165" t="s">
        <v>248</v>
      </c>
      <c r="B67" s="143" t="s">
        <v>231</v>
      </c>
      <c r="C67" s="140"/>
      <c r="D67" s="140"/>
      <c r="E67" s="140"/>
      <c r="F67" s="140"/>
      <c r="G67" s="140"/>
      <c r="H67" s="140"/>
      <c r="I67" s="141"/>
    </row>
    <row r="68" spans="1:9" ht="15.6" x14ac:dyDescent="0.3">
      <c r="A68" s="165" t="s">
        <v>248</v>
      </c>
      <c r="B68" s="143" t="s">
        <v>232</v>
      </c>
      <c r="C68" s="140"/>
      <c r="D68" s="140"/>
      <c r="E68" s="140"/>
      <c r="F68" s="140"/>
      <c r="G68" s="140"/>
      <c r="H68" s="140"/>
      <c r="I68" s="141"/>
    </row>
    <row r="69" spans="1:9" ht="15.6" x14ac:dyDescent="0.3">
      <c r="A69" s="165" t="s">
        <v>248</v>
      </c>
      <c r="B69" s="143" t="s">
        <v>233</v>
      </c>
      <c r="C69" s="140"/>
      <c r="D69" s="140"/>
      <c r="E69" s="140"/>
      <c r="F69" s="140"/>
      <c r="G69" s="140"/>
      <c r="H69" s="140"/>
      <c r="I69" s="141"/>
    </row>
    <row r="70" spans="1:9" ht="15.6" x14ac:dyDescent="0.3">
      <c r="A70" s="165" t="s">
        <v>248</v>
      </c>
      <c r="B70" s="139" t="s">
        <v>234</v>
      </c>
      <c r="C70" s="140"/>
      <c r="D70" s="140"/>
      <c r="E70" s="140"/>
      <c r="F70" s="140"/>
      <c r="G70" s="140"/>
      <c r="H70" s="140"/>
      <c r="I70" s="141"/>
    </row>
    <row r="71" spans="1:9" ht="15.6" x14ac:dyDescent="0.3">
      <c r="A71" s="165" t="s">
        <v>248</v>
      </c>
      <c r="B71" s="143" t="s">
        <v>235</v>
      </c>
      <c r="C71" s="140"/>
      <c r="D71" s="140"/>
      <c r="E71" s="140"/>
      <c r="F71" s="140"/>
      <c r="G71" s="140"/>
      <c r="H71" s="140"/>
      <c r="I71" s="141"/>
    </row>
    <row r="72" spans="1:9" ht="15.6" x14ac:dyDescent="0.3">
      <c r="A72" s="165" t="s">
        <v>248</v>
      </c>
      <c r="B72" s="143" t="s">
        <v>236</v>
      </c>
      <c r="C72" s="140"/>
      <c r="D72" s="140"/>
      <c r="E72" s="140"/>
      <c r="F72" s="140"/>
      <c r="G72" s="140"/>
      <c r="H72" s="140"/>
      <c r="I72" s="141"/>
    </row>
    <row r="73" spans="1:9" ht="15.6" x14ac:dyDescent="0.3">
      <c r="A73" s="165" t="s">
        <v>248</v>
      </c>
      <c r="B73" s="143" t="s">
        <v>237</v>
      </c>
      <c r="C73" s="140"/>
      <c r="D73" s="140"/>
      <c r="E73" s="140"/>
      <c r="F73" s="140"/>
      <c r="G73" s="140"/>
      <c r="H73" s="140"/>
      <c r="I73" s="141"/>
    </row>
    <row r="74" spans="1:9" ht="15.6" x14ac:dyDescent="0.3">
      <c r="A74" s="165" t="s">
        <v>248</v>
      </c>
      <c r="B74" s="143" t="s">
        <v>238</v>
      </c>
      <c r="C74" s="140"/>
      <c r="D74" s="140"/>
      <c r="E74" s="140"/>
      <c r="F74" s="140"/>
      <c r="G74" s="140"/>
      <c r="H74" s="140"/>
      <c r="I74" s="141"/>
    </row>
    <row r="75" spans="1:9" ht="15.6" x14ac:dyDescent="0.3">
      <c r="A75" s="165" t="s">
        <v>248</v>
      </c>
      <c r="B75" s="143" t="s">
        <v>239</v>
      </c>
      <c r="C75" s="140"/>
      <c r="D75" s="140"/>
      <c r="E75" s="140"/>
      <c r="F75" s="140"/>
      <c r="G75" s="140"/>
      <c r="H75" s="140"/>
      <c r="I75" s="141"/>
    </row>
    <row r="76" spans="1:9" ht="15.6" x14ac:dyDescent="0.3">
      <c r="A76" s="165" t="s">
        <v>248</v>
      </c>
      <c r="B76" s="139" t="s">
        <v>240</v>
      </c>
      <c r="C76" s="140"/>
      <c r="D76" s="140"/>
      <c r="E76" s="140"/>
      <c r="F76" s="140"/>
      <c r="G76" s="140"/>
      <c r="H76" s="140"/>
      <c r="I76" s="141"/>
    </row>
    <row r="77" spans="1:9" ht="15.6" x14ac:dyDescent="0.3">
      <c r="A77" s="165" t="s">
        <v>248</v>
      </c>
      <c r="B77" s="143" t="s">
        <v>241</v>
      </c>
      <c r="C77" s="140"/>
      <c r="D77" s="140"/>
      <c r="E77" s="140"/>
      <c r="F77" s="140"/>
      <c r="G77" s="140"/>
      <c r="H77" s="140"/>
      <c r="I77" s="141"/>
    </row>
    <row r="78" spans="1:9" ht="15.6" x14ac:dyDescent="0.3">
      <c r="A78" s="165" t="s">
        <v>248</v>
      </c>
      <c r="B78" s="143" t="s">
        <v>242</v>
      </c>
      <c r="C78" s="140"/>
      <c r="D78" s="140"/>
      <c r="E78" s="140"/>
      <c r="F78" s="140"/>
      <c r="G78" s="140"/>
      <c r="H78" s="140"/>
      <c r="I78" s="141"/>
    </row>
    <row r="79" spans="1:9" ht="15.6" x14ac:dyDescent="0.3">
      <c r="A79" s="165" t="s">
        <v>248</v>
      </c>
      <c r="B79" s="139" t="s">
        <v>243</v>
      </c>
      <c r="C79" s="140"/>
      <c r="D79" s="140"/>
      <c r="E79" s="140"/>
      <c r="F79" s="140"/>
      <c r="G79" s="140"/>
      <c r="H79" s="140"/>
      <c r="I79" s="141"/>
    </row>
    <row r="80" spans="1:9" ht="15.6" x14ac:dyDescent="0.3">
      <c r="A80" s="165" t="s">
        <v>248</v>
      </c>
      <c r="B80" s="143" t="s">
        <v>244</v>
      </c>
      <c r="C80" s="140"/>
      <c r="D80" s="140"/>
      <c r="E80" s="140"/>
      <c r="F80" s="140"/>
      <c r="G80" s="140"/>
      <c r="H80" s="140"/>
      <c r="I80" s="141"/>
    </row>
    <row r="81" spans="1:9" ht="15.6" x14ac:dyDescent="0.3">
      <c r="A81" s="165" t="s">
        <v>248</v>
      </c>
      <c r="B81" s="143" t="s">
        <v>245</v>
      </c>
      <c r="C81" s="140"/>
      <c r="D81" s="140"/>
      <c r="E81" s="140"/>
      <c r="F81" s="140"/>
      <c r="G81" s="140"/>
      <c r="H81" s="140"/>
      <c r="I81" s="141"/>
    </row>
    <row r="82" spans="1:9" ht="15.6" x14ac:dyDescent="0.3">
      <c r="A82" s="165" t="s">
        <v>248</v>
      </c>
      <c r="B82" s="143" t="s">
        <v>246</v>
      </c>
      <c r="C82" s="140"/>
      <c r="D82" s="140"/>
      <c r="E82" s="140"/>
      <c r="F82" s="140"/>
      <c r="G82" s="140"/>
      <c r="H82" s="140"/>
      <c r="I82" s="141"/>
    </row>
    <row r="83" spans="1:9" ht="15.6" x14ac:dyDescent="0.3">
      <c r="A83" s="165" t="s">
        <v>248</v>
      </c>
      <c r="B83" s="143" t="s">
        <v>247</v>
      </c>
      <c r="C83" s="140"/>
      <c r="D83" s="140"/>
      <c r="E83" s="140"/>
      <c r="F83" s="140"/>
      <c r="G83" s="140"/>
      <c r="H83" s="140"/>
      <c r="I83" s="141"/>
    </row>
    <row r="84" spans="1:9" ht="18" x14ac:dyDescent="0.3">
      <c r="A84" s="165" t="s">
        <v>248</v>
      </c>
      <c r="B84" s="223" t="s">
        <v>151</v>
      </c>
      <c r="C84" s="223"/>
      <c r="D84" s="223"/>
      <c r="E84" s="223"/>
      <c r="F84" s="223"/>
      <c r="G84" s="163"/>
      <c r="H84" s="163"/>
      <c r="I84" s="164"/>
    </row>
    <row r="85" spans="1:9" ht="46.8" x14ac:dyDescent="0.3">
      <c r="A85" s="165" t="s">
        <v>248</v>
      </c>
      <c r="B85" s="147" t="s">
        <v>226</v>
      </c>
      <c r="C85" s="148" t="s">
        <v>222</v>
      </c>
      <c r="D85" s="148" t="s">
        <v>223</v>
      </c>
      <c r="E85" s="148" t="s">
        <v>217</v>
      </c>
      <c r="F85" s="148" t="s">
        <v>224</v>
      </c>
      <c r="G85" s="148"/>
      <c r="H85" s="148"/>
      <c r="I85" s="149">
        <v>5</v>
      </c>
    </row>
    <row r="86" spans="1:9" ht="15" customHeight="1" x14ac:dyDescent="0.3">
      <c r="A86" s="165" t="s">
        <v>249</v>
      </c>
      <c r="B86" s="139" t="s">
        <v>234</v>
      </c>
      <c r="C86" s="140"/>
      <c r="D86" s="140"/>
      <c r="E86" s="140"/>
      <c r="F86" s="140"/>
      <c r="G86" s="140"/>
      <c r="H86" s="140"/>
      <c r="I86" s="141"/>
    </row>
    <row r="87" spans="1:9" ht="15.6" x14ac:dyDescent="0.3">
      <c r="A87" s="165" t="s">
        <v>249</v>
      </c>
      <c r="B87" s="143" t="s">
        <v>235</v>
      </c>
      <c r="C87" s="140"/>
      <c r="D87" s="140"/>
      <c r="E87" s="140"/>
      <c r="F87" s="140"/>
      <c r="G87" s="140"/>
      <c r="H87" s="140"/>
      <c r="I87" s="141"/>
    </row>
    <row r="88" spans="1:9" ht="15.6" x14ac:dyDescent="0.3">
      <c r="A88" s="165" t="s">
        <v>249</v>
      </c>
      <c r="B88" s="143" t="s">
        <v>236</v>
      </c>
      <c r="C88" s="140"/>
      <c r="D88" s="140"/>
      <c r="E88" s="140"/>
      <c r="F88" s="140"/>
      <c r="G88" s="140"/>
      <c r="H88" s="140"/>
      <c r="I88" s="141"/>
    </row>
    <row r="89" spans="1:9" ht="15.6" x14ac:dyDescent="0.3">
      <c r="A89" s="165" t="s">
        <v>249</v>
      </c>
      <c r="B89" s="143" t="s">
        <v>237</v>
      </c>
      <c r="C89" s="140"/>
      <c r="D89" s="140"/>
      <c r="E89" s="140"/>
      <c r="F89" s="140"/>
      <c r="G89" s="140"/>
      <c r="H89" s="140"/>
      <c r="I89" s="141"/>
    </row>
    <row r="90" spans="1:9" ht="15.6" x14ac:dyDescent="0.3">
      <c r="A90" s="165" t="s">
        <v>249</v>
      </c>
      <c r="B90" s="143" t="s">
        <v>238</v>
      </c>
      <c r="C90" s="140"/>
      <c r="D90" s="140"/>
      <c r="E90" s="140"/>
      <c r="F90" s="140"/>
      <c r="G90" s="140"/>
      <c r="H90" s="140"/>
      <c r="I90" s="141"/>
    </row>
    <row r="91" spans="1:9" ht="15.6" x14ac:dyDescent="0.3">
      <c r="A91" s="165" t="s">
        <v>249</v>
      </c>
      <c r="B91" s="139" t="s">
        <v>243</v>
      </c>
      <c r="C91" s="140"/>
      <c r="D91" s="140"/>
      <c r="E91" s="140"/>
      <c r="F91" s="140"/>
      <c r="G91" s="140"/>
      <c r="H91" s="140"/>
      <c r="I91" s="141"/>
    </row>
    <row r="92" spans="1:9" ht="15.6" x14ac:dyDescent="0.3">
      <c r="A92" s="165" t="s">
        <v>249</v>
      </c>
      <c r="B92" s="143" t="s">
        <v>244</v>
      </c>
      <c r="C92" s="140"/>
      <c r="D92" s="140"/>
      <c r="E92" s="140"/>
      <c r="F92" s="140"/>
      <c r="G92" s="140"/>
      <c r="H92" s="140"/>
      <c r="I92" s="141"/>
    </row>
    <row r="93" spans="1:9" ht="15.6" x14ac:dyDescent="0.3">
      <c r="A93" s="165" t="s">
        <v>249</v>
      </c>
      <c r="B93" s="143" t="s">
        <v>245</v>
      </c>
      <c r="C93" s="140"/>
      <c r="D93" s="140"/>
      <c r="E93" s="140"/>
      <c r="F93" s="140"/>
      <c r="G93" s="140"/>
      <c r="H93" s="140"/>
      <c r="I93" s="141"/>
    </row>
    <row r="94" spans="1:9" ht="15.6" x14ac:dyDescent="0.3">
      <c r="A94" s="165" t="s">
        <v>249</v>
      </c>
      <c r="B94" s="143" t="s">
        <v>246</v>
      </c>
      <c r="C94" s="140"/>
      <c r="D94" s="140"/>
      <c r="E94" s="140"/>
      <c r="F94" s="140"/>
      <c r="G94" s="140"/>
      <c r="H94" s="140"/>
      <c r="I94" s="141"/>
    </row>
    <row r="95" spans="1:9" ht="15.6" x14ac:dyDescent="0.3">
      <c r="A95" s="165" t="s">
        <v>249</v>
      </c>
      <c r="B95" s="143" t="s">
        <v>247</v>
      </c>
      <c r="C95" s="140"/>
      <c r="D95" s="140"/>
      <c r="E95" s="140"/>
      <c r="F95" s="140"/>
      <c r="G95" s="140"/>
      <c r="H95" s="140"/>
      <c r="I95" s="141"/>
    </row>
    <row r="96" spans="1:9" ht="15.6" x14ac:dyDescent="0.3">
      <c r="A96" s="165" t="s">
        <v>249</v>
      </c>
      <c r="B96" s="139" t="s">
        <v>250</v>
      </c>
      <c r="C96" s="140"/>
      <c r="D96" s="140"/>
      <c r="E96" s="140"/>
      <c r="F96" s="140"/>
      <c r="G96" s="140"/>
      <c r="H96" s="140"/>
      <c r="I96" s="141"/>
    </row>
    <row r="97" spans="1:9" ht="15.6" x14ac:dyDescent="0.3">
      <c r="A97" s="165" t="s">
        <v>249</v>
      </c>
      <c r="B97" s="143" t="s">
        <v>251</v>
      </c>
      <c r="C97" s="140"/>
      <c r="D97" s="140"/>
      <c r="E97" s="140"/>
      <c r="F97" s="140"/>
      <c r="G97" s="140"/>
      <c r="H97" s="140"/>
      <c r="I97" s="141"/>
    </row>
    <row r="98" spans="1:9" ht="15.6" x14ac:dyDescent="0.3">
      <c r="A98" s="165" t="s">
        <v>249</v>
      </c>
      <c r="B98" s="143" t="s">
        <v>252</v>
      </c>
      <c r="C98" s="140"/>
      <c r="D98" s="140"/>
      <c r="E98" s="140"/>
      <c r="F98" s="140"/>
      <c r="G98" s="140"/>
      <c r="H98" s="140"/>
      <c r="I98" s="141"/>
    </row>
    <row r="99" spans="1:9" ht="15.6" x14ac:dyDescent="0.3">
      <c r="A99" s="165" t="s">
        <v>249</v>
      </c>
      <c r="B99" s="143" t="s">
        <v>253</v>
      </c>
      <c r="C99" s="140"/>
      <c r="D99" s="140"/>
      <c r="E99" s="140"/>
      <c r="F99" s="140"/>
      <c r="G99" s="140"/>
      <c r="H99" s="140"/>
      <c r="I99" s="141"/>
    </row>
    <row r="100" spans="1:9" ht="15.6" x14ac:dyDescent="0.3">
      <c r="A100" s="165" t="s">
        <v>249</v>
      </c>
      <c r="B100" s="143" t="s">
        <v>254</v>
      </c>
      <c r="C100" s="140"/>
      <c r="D100" s="140"/>
      <c r="E100" s="140"/>
      <c r="F100" s="140"/>
      <c r="G100" s="140"/>
      <c r="H100" s="140"/>
      <c r="I100" s="141"/>
    </row>
    <row r="101" spans="1:9" ht="15.6" x14ac:dyDescent="0.3">
      <c r="A101" s="165" t="s">
        <v>249</v>
      </c>
      <c r="B101" s="139" t="s">
        <v>255</v>
      </c>
      <c r="C101" s="140"/>
      <c r="D101" s="140"/>
      <c r="E101" s="140"/>
      <c r="F101" s="140"/>
      <c r="G101" s="140"/>
      <c r="H101" s="140"/>
      <c r="I101" s="141"/>
    </row>
    <row r="102" spans="1:9" ht="15.6" x14ac:dyDescent="0.3">
      <c r="A102" s="165" t="s">
        <v>249</v>
      </c>
      <c r="B102" s="143" t="s">
        <v>256</v>
      </c>
      <c r="C102" s="140"/>
      <c r="D102" s="140"/>
      <c r="E102" s="140"/>
      <c r="F102" s="140"/>
      <c r="G102" s="140"/>
      <c r="H102" s="140"/>
      <c r="I102" s="141"/>
    </row>
    <row r="103" spans="1:9" ht="18" x14ac:dyDescent="0.3">
      <c r="A103" s="165" t="s">
        <v>249</v>
      </c>
      <c r="B103" s="223" t="s">
        <v>151</v>
      </c>
      <c r="C103" s="223"/>
      <c r="D103" s="223"/>
      <c r="E103" s="223"/>
      <c r="F103" s="223"/>
      <c r="G103" s="163"/>
      <c r="H103" s="163"/>
      <c r="I103" s="164"/>
    </row>
    <row r="104" spans="1:9" ht="46.8" x14ac:dyDescent="0.3">
      <c r="A104" s="165" t="s">
        <v>249</v>
      </c>
      <c r="B104" s="147" t="s">
        <v>226</v>
      </c>
      <c r="C104" s="148" t="s">
        <v>222</v>
      </c>
      <c r="D104" s="148" t="s">
        <v>223</v>
      </c>
      <c r="E104" s="148" t="s">
        <v>217</v>
      </c>
      <c r="F104" s="148" t="s">
        <v>224</v>
      </c>
      <c r="G104" s="148"/>
      <c r="H104" s="148"/>
      <c r="I104" s="149">
        <v>5</v>
      </c>
    </row>
    <row r="105" spans="1:9" ht="15.75" customHeight="1" x14ac:dyDescent="0.3">
      <c r="A105" s="165" t="s">
        <v>257</v>
      </c>
      <c r="B105" s="139" t="s">
        <v>250</v>
      </c>
      <c r="C105" s="140"/>
      <c r="D105" s="140"/>
      <c r="E105" s="140"/>
      <c r="F105" s="140"/>
      <c r="G105" s="140"/>
      <c r="H105" s="140"/>
      <c r="I105" s="141"/>
    </row>
    <row r="106" spans="1:9" ht="15.6" x14ac:dyDescent="0.3">
      <c r="A106" s="165" t="s">
        <v>257</v>
      </c>
      <c r="B106" s="143" t="s">
        <v>251</v>
      </c>
      <c r="C106" s="140"/>
      <c r="D106" s="140"/>
      <c r="E106" s="140"/>
      <c r="F106" s="140"/>
      <c r="G106" s="140"/>
      <c r="H106" s="140"/>
      <c r="I106" s="141"/>
    </row>
    <row r="107" spans="1:9" ht="15.6" x14ac:dyDescent="0.3">
      <c r="A107" s="165" t="s">
        <v>257</v>
      </c>
      <c r="B107" s="143" t="s">
        <v>252</v>
      </c>
      <c r="C107" s="140"/>
      <c r="D107" s="140"/>
      <c r="E107" s="140"/>
      <c r="F107" s="140"/>
      <c r="G107" s="140"/>
      <c r="H107" s="140"/>
      <c r="I107" s="141"/>
    </row>
    <row r="108" spans="1:9" ht="15.6" x14ac:dyDescent="0.3">
      <c r="A108" s="165" t="s">
        <v>257</v>
      </c>
      <c r="B108" s="143" t="s">
        <v>253</v>
      </c>
      <c r="C108" s="140"/>
      <c r="D108" s="140"/>
      <c r="E108" s="140"/>
      <c r="F108" s="140"/>
      <c r="G108" s="140"/>
      <c r="H108" s="140"/>
      <c r="I108" s="141"/>
    </row>
    <row r="109" spans="1:9" ht="15.6" x14ac:dyDescent="0.3">
      <c r="A109" s="165" t="s">
        <v>257</v>
      </c>
      <c r="B109" s="143" t="s">
        <v>254</v>
      </c>
      <c r="C109" s="140"/>
      <c r="D109" s="140"/>
      <c r="E109" s="140"/>
      <c r="F109" s="140"/>
      <c r="G109" s="140"/>
      <c r="H109" s="140"/>
      <c r="I109" s="141"/>
    </row>
    <row r="110" spans="1:9" ht="15.6" x14ac:dyDescent="0.3">
      <c r="A110" s="165" t="s">
        <v>257</v>
      </c>
      <c r="B110" s="139" t="s">
        <v>255</v>
      </c>
      <c r="C110" s="140"/>
      <c r="D110" s="140"/>
      <c r="E110" s="140"/>
      <c r="F110" s="140"/>
      <c r="G110" s="140"/>
      <c r="H110" s="140"/>
      <c r="I110" s="141"/>
    </row>
    <row r="111" spans="1:9" ht="15.6" x14ac:dyDescent="0.3">
      <c r="A111" s="165" t="s">
        <v>257</v>
      </c>
      <c r="B111" s="143" t="s">
        <v>256</v>
      </c>
      <c r="C111" s="140"/>
      <c r="D111" s="140"/>
      <c r="E111" s="140"/>
      <c r="F111" s="140"/>
      <c r="G111" s="140"/>
      <c r="H111" s="140"/>
      <c r="I111" s="141"/>
    </row>
    <row r="112" spans="1:9" ht="15.6" x14ac:dyDescent="0.3">
      <c r="A112" s="165" t="s">
        <v>257</v>
      </c>
      <c r="B112" s="139" t="s">
        <v>258</v>
      </c>
      <c r="C112" s="140"/>
      <c r="D112" s="140"/>
      <c r="E112" s="140"/>
      <c r="F112" s="140"/>
      <c r="G112" s="140"/>
      <c r="H112" s="140"/>
      <c r="I112" s="141"/>
    </row>
    <row r="113" spans="1:9" ht="15.6" x14ac:dyDescent="0.3">
      <c r="A113" s="165" t="s">
        <v>257</v>
      </c>
      <c r="B113" s="143" t="s">
        <v>259</v>
      </c>
      <c r="C113" s="140"/>
      <c r="D113" s="140"/>
      <c r="E113" s="140"/>
      <c r="F113" s="140"/>
      <c r="G113" s="140"/>
      <c r="H113" s="140"/>
      <c r="I113" s="141"/>
    </row>
    <row r="114" spans="1:9" ht="15.6" x14ac:dyDescent="0.3">
      <c r="A114" s="165" t="s">
        <v>257</v>
      </c>
      <c r="B114" s="143" t="s">
        <v>260</v>
      </c>
      <c r="C114" s="140"/>
      <c r="D114" s="140"/>
      <c r="E114" s="140"/>
      <c r="F114" s="140"/>
      <c r="G114" s="140"/>
      <c r="H114" s="140"/>
      <c r="I114" s="141"/>
    </row>
    <row r="115" spans="1:9" ht="15.6" x14ac:dyDescent="0.3">
      <c r="A115" s="165" t="s">
        <v>257</v>
      </c>
      <c r="B115" s="143" t="s">
        <v>261</v>
      </c>
      <c r="C115" s="140"/>
      <c r="D115" s="140"/>
      <c r="E115" s="140"/>
      <c r="F115" s="140"/>
      <c r="G115" s="140"/>
      <c r="H115" s="140"/>
      <c r="I115" s="141"/>
    </row>
    <row r="116" spans="1:9" ht="15.6" x14ac:dyDescent="0.3">
      <c r="A116" s="165" t="s">
        <v>257</v>
      </c>
      <c r="B116" s="143" t="s">
        <v>262</v>
      </c>
      <c r="C116" s="140"/>
      <c r="D116" s="140"/>
      <c r="E116" s="140"/>
      <c r="F116" s="140"/>
      <c r="G116" s="140"/>
      <c r="H116" s="140"/>
      <c r="I116" s="141"/>
    </row>
    <row r="117" spans="1:9" ht="15.6" x14ac:dyDescent="0.3">
      <c r="A117" s="165" t="s">
        <v>257</v>
      </c>
      <c r="B117" s="143" t="s">
        <v>263</v>
      </c>
      <c r="C117" s="140"/>
      <c r="D117" s="140"/>
      <c r="E117" s="140"/>
      <c r="F117" s="140"/>
      <c r="G117" s="140"/>
      <c r="H117" s="140"/>
      <c r="I117" s="141"/>
    </row>
    <row r="118" spans="1:9" ht="15.6" x14ac:dyDescent="0.3">
      <c r="A118" s="165" t="s">
        <v>257</v>
      </c>
      <c r="B118" s="139" t="s">
        <v>264</v>
      </c>
      <c r="C118" s="140"/>
      <c r="D118" s="140"/>
      <c r="E118" s="140"/>
      <c r="F118" s="140"/>
      <c r="G118" s="140"/>
      <c r="H118" s="140"/>
      <c r="I118" s="141"/>
    </row>
    <row r="119" spans="1:9" ht="15.6" x14ac:dyDescent="0.3">
      <c r="A119" s="165" t="s">
        <v>257</v>
      </c>
      <c r="B119" s="143" t="s">
        <v>265</v>
      </c>
      <c r="C119" s="140"/>
      <c r="D119" s="140"/>
      <c r="E119" s="140"/>
      <c r="F119" s="140"/>
      <c r="G119" s="140"/>
      <c r="H119" s="140"/>
      <c r="I119" s="141"/>
    </row>
    <row r="120" spans="1:9" ht="15.6" x14ac:dyDescent="0.3">
      <c r="A120" s="165" t="s">
        <v>257</v>
      </c>
      <c r="B120" s="143" t="s">
        <v>266</v>
      </c>
      <c r="C120" s="140"/>
      <c r="D120" s="140"/>
      <c r="E120" s="140"/>
      <c r="F120" s="140"/>
      <c r="G120" s="140"/>
      <c r="H120" s="140"/>
      <c r="I120" s="141"/>
    </row>
    <row r="121" spans="1:9" ht="15.6" x14ac:dyDescent="0.3">
      <c r="A121" s="165" t="s">
        <v>257</v>
      </c>
      <c r="B121" s="143" t="s">
        <v>267</v>
      </c>
      <c r="C121" s="140"/>
      <c r="D121" s="140"/>
      <c r="E121" s="140"/>
      <c r="F121" s="140"/>
      <c r="G121" s="140"/>
      <c r="H121" s="140"/>
      <c r="I121" s="141"/>
    </row>
    <row r="122" spans="1:9" ht="15.6" x14ac:dyDescent="0.3">
      <c r="A122" s="165" t="s">
        <v>257</v>
      </c>
      <c r="B122" s="143" t="s">
        <v>268</v>
      </c>
      <c r="C122" s="140"/>
      <c r="D122" s="140"/>
      <c r="E122" s="140"/>
      <c r="F122" s="140"/>
      <c r="G122" s="140"/>
      <c r="H122" s="140"/>
      <c r="I122" s="141"/>
    </row>
    <row r="123" spans="1:9" ht="15.6" x14ac:dyDescent="0.3">
      <c r="A123" s="165" t="s">
        <v>257</v>
      </c>
      <c r="B123" s="143" t="s">
        <v>269</v>
      </c>
      <c r="C123" s="140"/>
      <c r="D123" s="140"/>
      <c r="E123" s="140"/>
      <c r="F123" s="140"/>
      <c r="G123" s="140"/>
      <c r="H123" s="140"/>
      <c r="I123" s="141"/>
    </row>
    <row r="124" spans="1:9" ht="18" x14ac:dyDescent="0.3">
      <c r="A124" s="165" t="s">
        <v>257</v>
      </c>
      <c r="B124" s="223" t="s">
        <v>151</v>
      </c>
      <c r="C124" s="223"/>
      <c r="D124" s="223"/>
      <c r="E124" s="223"/>
      <c r="F124" s="223"/>
      <c r="G124" s="163"/>
      <c r="H124" s="163"/>
      <c r="I124" s="164"/>
    </row>
    <row r="125" spans="1:9" ht="46.8" x14ac:dyDescent="0.3">
      <c r="A125" s="165" t="s">
        <v>257</v>
      </c>
      <c r="B125" s="147" t="s">
        <v>226</v>
      </c>
      <c r="C125" s="148" t="s">
        <v>222</v>
      </c>
      <c r="D125" s="148" t="s">
        <v>223</v>
      </c>
      <c r="E125" s="148" t="s">
        <v>217</v>
      </c>
      <c r="F125" s="148" t="s">
        <v>224</v>
      </c>
      <c r="G125" s="148"/>
      <c r="H125" s="148"/>
      <c r="I125" s="149">
        <v>5</v>
      </c>
    </row>
    <row r="126" spans="1:9" ht="15" customHeight="1" x14ac:dyDescent="0.3">
      <c r="A126" s="165" t="s">
        <v>270</v>
      </c>
      <c r="B126" s="139" t="s">
        <v>250</v>
      </c>
      <c r="C126" s="140"/>
      <c r="D126" s="140"/>
      <c r="E126" s="140"/>
      <c r="F126" s="140"/>
      <c r="G126" s="140"/>
      <c r="H126" s="140"/>
      <c r="I126" s="141"/>
    </row>
    <row r="127" spans="1:9" ht="15.6" x14ac:dyDescent="0.3">
      <c r="A127" s="165" t="s">
        <v>270</v>
      </c>
      <c r="B127" s="143" t="s">
        <v>251</v>
      </c>
      <c r="C127" s="140"/>
      <c r="D127" s="140"/>
      <c r="E127" s="140"/>
      <c r="F127" s="140"/>
      <c r="G127" s="140"/>
      <c r="H127" s="140"/>
      <c r="I127" s="141"/>
    </row>
    <row r="128" spans="1:9" ht="15.6" x14ac:dyDescent="0.3">
      <c r="A128" s="165" t="s">
        <v>270</v>
      </c>
      <c r="B128" s="143" t="s">
        <v>252</v>
      </c>
      <c r="C128" s="140"/>
      <c r="D128" s="140"/>
      <c r="E128" s="140"/>
      <c r="F128" s="140"/>
      <c r="G128" s="140"/>
      <c r="H128" s="140"/>
      <c r="I128" s="141"/>
    </row>
    <row r="129" spans="1:9" ht="15.6" x14ac:dyDescent="0.3">
      <c r="A129" s="165" t="s">
        <v>270</v>
      </c>
      <c r="B129" s="143" t="s">
        <v>253</v>
      </c>
      <c r="C129" s="140"/>
      <c r="D129" s="140"/>
      <c r="E129" s="140"/>
      <c r="F129" s="140"/>
      <c r="G129" s="140"/>
      <c r="H129" s="140"/>
      <c r="I129" s="141"/>
    </row>
    <row r="130" spans="1:9" ht="15.6" x14ac:dyDescent="0.3">
      <c r="A130" s="165" t="s">
        <v>270</v>
      </c>
      <c r="B130" s="143" t="s">
        <v>254</v>
      </c>
      <c r="C130" s="140"/>
      <c r="D130" s="140"/>
      <c r="E130" s="140"/>
      <c r="F130" s="140"/>
      <c r="G130" s="140"/>
      <c r="H130" s="140"/>
      <c r="I130" s="141"/>
    </row>
    <row r="131" spans="1:9" ht="15.6" x14ac:dyDescent="0.3">
      <c r="A131" s="165" t="s">
        <v>270</v>
      </c>
      <c r="B131" s="139" t="s">
        <v>255</v>
      </c>
      <c r="C131" s="140"/>
      <c r="D131" s="140"/>
      <c r="E131" s="140"/>
      <c r="F131" s="140"/>
      <c r="G131" s="140"/>
      <c r="H131" s="140"/>
      <c r="I131" s="141"/>
    </row>
    <row r="132" spans="1:9" ht="15.6" x14ac:dyDescent="0.3">
      <c r="A132" s="165" t="s">
        <v>270</v>
      </c>
      <c r="B132" s="143" t="s">
        <v>256</v>
      </c>
      <c r="C132" s="140"/>
      <c r="D132" s="140"/>
      <c r="E132" s="140"/>
      <c r="F132" s="140"/>
      <c r="G132" s="140"/>
      <c r="H132" s="140"/>
      <c r="I132" s="141"/>
    </row>
    <row r="133" spans="1:9" ht="15.6" x14ac:dyDescent="0.3">
      <c r="A133" s="165" t="s">
        <v>270</v>
      </c>
      <c r="B133" s="139" t="s">
        <v>258</v>
      </c>
      <c r="C133" s="140"/>
      <c r="D133" s="140"/>
      <c r="E133" s="140"/>
      <c r="F133" s="140"/>
      <c r="G133" s="140"/>
      <c r="H133" s="140"/>
      <c r="I133" s="141"/>
    </row>
    <row r="134" spans="1:9" ht="15.6" x14ac:dyDescent="0.3">
      <c r="A134" s="165" t="s">
        <v>270</v>
      </c>
      <c r="B134" s="143" t="s">
        <v>259</v>
      </c>
      <c r="C134" s="140"/>
      <c r="D134" s="140"/>
      <c r="E134" s="140"/>
      <c r="F134" s="140"/>
      <c r="G134" s="140"/>
      <c r="H134" s="140"/>
      <c r="I134" s="141"/>
    </row>
    <row r="135" spans="1:9" ht="15.6" x14ac:dyDescent="0.3">
      <c r="A135" s="165" t="s">
        <v>270</v>
      </c>
      <c r="B135" s="143" t="s">
        <v>260</v>
      </c>
      <c r="C135" s="140"/>
      <c r="D135" s="140"/>
      <c r="E135" s="140"/>
      <c r="F135" s="140"/>
      <c r="G135" s="140"/>
      <c r="H135" s="140"/>
      <c r="I135" s="141"/>
    </row>
    <row r="136" spans="1:9" ht="15.6" x14ac:dyDescent="0.3">
      <c r="A136" s="165" t="s">
        <v>270</v>
      </c>
      <c r="B136" s="143" t="s">
        <v>261</v>
      </c>
      <c r="C136" s="140"/>
      <c r="D136" s="140"/>
      <c r="E136" s="140"/>
      <c r="F136" s="140"/>
      <c r="G136" s="140"/>
      <c r="H136" s="140"/>
      <c r="I136" s="141"/>
    </row>
    <row r="137" spans="1:9" ht="15.6" x14ac:dyDescent="0.3">
      <c r="A137" s="165" t="s">
        <v>270</v>
      </c>
      <c r="B137" s="143" t="s">
        <v>262</v>
      </c>
      <c r="C137" s="140"/>
      <c r="D137" s="140"/>
      <c r="E137" s="140"/>
      <c r="F137" s="140"/>
      <c r="G137" s="140"/>
      <c r="H137" s="140"/>
      <c r="I137" s="141"/>
    </row>
    <row r="138" spans="1:9" ht="15.75" customHeight="1" x14ac:dyDescent="0.3">
      <c r="A138" s="165" t="s">
        <v>270</v>
      </c>
      <c r="B138" s="143" t="s">
        <v>263</v>
      </c>
      <c r="C138" s="140"/>
      <c r="D138" s="140"/>
      <c r="E138" s="140"/>
      <c r="F138" s="140"/>
      <c r="G138" s="140"/>
      <c r="H138" s="140"/>
      <c r="I138" s="141"/>
    </row>
    <row r="139" spans="1:9" ht="15.6" x14ac:dyDescent="0.3">
      <c r="A139" s="165" t="s">
        <v>270</v>
      </c>
      <c r="B139" s="139" t="s">
        <v>264</v>
      </c>
      <c r="C139" s="140"/>
      <c r="D139" s="140"/>
      <c r="E139" s="140"/>
      <c r="F139" s="140"/>
      <c r="G139" s="140"/>
      <c r="H139" s="140"/>
      <c r="I139" s="141"/>
    </row>
    <row r="140" spans="1:9" ht="15.6" x14ac:dyDescent="0.3">
      <c r="A140" s="165" t="s">
        <v>270</v>
      </c>
      <c r="B140" s="143" t="s">
        <v>265</v>
      </c>
      <c r="C140" s="140"/>
      <c r="D140" s="140"/>
      <c r="E140" s="140"/>
      <c r="F140" s="140"/>
      <c r="G140" s="140"/>
      <c r="H140" s="140"/>
      <c r="I140" s="141"/>
    </row>
    <row r="141" spans="1:9" ht="15.6" x14ac:dyDescent="0.3">
      <c r="A141" s="165" t="s">
        <v>270</v>
      </c>
      <c r="B141" s="143" t="s">
        <v>266</v>
      </c>
      <c r="C141" s="140"/>
      <c r="D141" s="140"/>
      <c r="E141" s="140"/>
      <c r="F141" s="140"/>
      <c r="G141" s="140"/>
      <c r="H141" s="140"/>
      <c r="I141" s="141"/>
    </row>
    <row r="142" spans="1:9" ht="15.6" x14ac:dyDescent="0.3">
      <c r="A142" s="165" t="s">
        <v>270</v>
      </c>
      <c r="B142" s="143" t="s">
        <v>267</v>
      </c>
      <c r="C142" s="140"/>
      <c r="D142" s="140"/>
      <c r="E142" s="140"/>
      <c r="F142" s="140"/>
      <c r="G142" s="140"/>
      <c r="H142" s="140"/>
      <c r="I142" s="141"/>
    </row>
    <row r="143" spans="1:9" ht="15.6" x14ac:dyDescent="0.3">
      <c r="A143" s="165" t="s">
        <v>270</v>
      </c>
      <c r="B143" s="143" t="s">
        <v>268</v>
      </c>
      <c r="C143" s="140"/>
      <c r="D143" s="140"/>
      <c r="E143" s="140"/>
      <c r="F143" s="140"/>
      <c r="G143" s="140"/>
      <c r="H143" s="140"/>
      <c r="I143" s="141"/>
    </row>
    <row r="144" spans="1:9" ht="15.6" x14ac:dyDescent="0.3">
      <c r="A144" s="165" t="s">
        <v>270</v>
      </c>
      <c r="B144" s="143" t="s">
        <v>269</v>
      </c>
      <c r="C144" s="140"/>
      <c r="D144" s="140"/>
      <c r="E144" s="140"/>
      <c r="F144" s="140"/>
      <c r="G144" s="140"/>
      <c r="H144" s="140"/>
      <c r="I144" s="141"/>
    </row>
    <row r="145" spans="1:9" ht="18" x14ac:dyDescent="0.3">
      <c r="A145" s="165" t="s">
        <v>270</v>
      </c>
      <c r="B145" s="223" t="s">
        <v>151</v>
      </c>
      <c r="C145" s="223"/>
      <c r="D145" s="223"/>
      <c r="E145" s="223"/>
      <c r="F145" s="223"/>
      <c r="G145" s="140"/>
      <c r="H145" s="140"/>
      <c r="I145" s="141"/>
    </row>
    <row r="146" spans="1:9" ht="46.8" x14ac:dyDescent="0.3">
      <c r="A146" s="165" t="s">
        <v>270</v>
      </c>
      <c r="B146" s="147" t="s">
        <v>226</v>
      </c>
      <c r="C146" s="148" t="s">
        <v>222</v>
      </c>
      <c r="D146" s="148" t="s">
        <v>223</v>
      </c>
      <c r="E146" s="148" t="s">
        <v>217</v>
      </c>
      <c r="F146" s="148" t="s">
        <v>224</v>
      </c>
      <c r="G146" s="140"/>
      <c r="H146" s="140"/>
      <c r="I146" s="141"/>
    </row>
    <row r="147" spans="1:9" x14ac:dyDescent="0.3">
      <c r="A147" s="167"/>
    </row>
    <row r="148" spans="1:9" x14ac:dyDescent="0.3">
      <c r="A148" s="167"/>
    </row>
    <row r="149" spans="1:9" x14ac:dyDescent="0.3">
      <c r="A149" s="167"/>
    </row>
    <row r="150" spans="1:9" x14ac:dyDescent="0.3">
      <c r="A150" s="167"/>
    </row>
    <row r="151" spans="1:9" x14ac:dyDescent="0.3">
      <c r="A151" s="167"/>
    </row>
    <row r="152" spans="1:9" x14ac:dyDescent="0.3">
      <c r="A152" s="167"/>
    </row>
    <row r="153" spans="1:9" x14ac:dyDescent="0.3">
      <c r="A153" s="167"/>
    </row>
    <row r="154" spans="1:9" x14ac:dyDescent="0.3">
      <c r="A154" s="167"/>
    </row>
    <row r="155" spans="1:9" x14ac:dyDescent="0.3">
      <c r="A155" s="167"/>
    </row>
    <row r="156" spans="1:9" x14ac:dyDescent="0.3">
      <c r="A156" s="167"/>
    </row>
    <row r="157" spans="1:9" x14ac:dyDescent="0.3">
      <c r="A157" s="167"/>
    </row>
    <row r="158" spans="1:9" x14ac:dyDescent="0.3">
      <c r="A158" s="167"/>
    </row>
    <row r="159" spans="1:9" x14ac:dyDescent="0.3">
      <c r="A159" s="167"/>
    </row>
    <row r="160" spans="1:9" x14ac:dyDescent="0.3">
      <c r="A160" s="167"/>
    </row>
    <row r="161" spans="1:1" x14ac:dyDescent="0.3">
      <c r="A161" s="167"/>
    </row>
  </sheetData>
  <dataConsolidate link="1"/>
  <mergeCells count="9">
    <mergeCell ref="B103:F103"/>
    <mergeCell ref="B124:F124"/>
    <mergeCell ref="B145:F145"/>
    <mergeCell ref="B17:J17"/>
    <mergeCell ref="B31:I31"/>
    <mergeCell ref="B36:G36"/>
    <mergeCell ref="B40:G40"/>
    <mergeCell ref="B62:F62"/>
    <mergeCell ref="B84:F8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2402F-B529-4306-A50F-BCDFB28CBC7F}">
  <sheetPr codeName="Sheet11"/>
  <dimension ref="A1:C15"/>
  <sheetViews>
    <sheetView workbookViewId="0">
      <selection activeCell="A15" sqref="A15"/>
    </sheetView>
  </sheetViews>
  <sheetFormatPr defaultColWidth="8.88671875" defaultRowHeight="14.4" x14ac:dyDescent="0.3"/>
  <cols>
    <col min="1" max="1" width="62.5546875" style="137" bestFit="1" customWidth="1"/>
    <col min="2" max="2" width="20.88671875" style="137" bestFit="1" customWidth="1"/>
    <col min="3" max="3" width="9.5546875" style="137" bestFit="1" customWidth="1"/>
    <col min="4" max="16384" width="8.88671875" style="137"/>
  </cols>
  <sheetData>
    <row r="1" spans="1:3" x14ac:dyDescent="0.3">
      <c r="A1" s="137" t="s">
        <v>271</v>
      </c>
      <c r="B1" s="137" t="s">
        <v>272</v>
      </c>
      <c r="C1" s="137" t="s">
        <v>273</v>
      </c>
    </row>
    <row r="2" spans="1:3" x14ac:dyDescent="0.3">
      <c r="A2" s="168" t="s">
        <v>274</v>
      </c>
      <c r="B2" s="168" t="s">
        <v>275</v>
      </c>
      <c r="C2" s="169">
        <v>43300</v>
      </c>
    </row>
    <row r="3" spans="1:3" x14ac:dyDescent="0.3">
      <c r="A3" s="168" t="s">
        <v>276</v>
      </c>
      <c r="B3" s="168" t="s">
        <v>124</v>
      </c>
      <c r="C3" s="168">
        <v>43300</v>
      </c>
    </row>
    <row r="4" spans="1:3" x14ac:dyDescent="0.3">
      <c r="A4" s="168" t="s">
        <v>277</v>
      </c>
      <c r="B4" s="168" t="s">
        <v>275</v>
      </c>
      <c r="C4" s="168">
        <v>43300</v>
      </c>
    </row>
    <row r="5" spans="1:3" x14ac:dyDescent="0.3">
      <c r="A5" s="168" t="s">
        <v>278</v>
      </c>
      <c r="B5" s="168" t="s">
        <v>279</v>
      </c>
      <c r="C5" s="170">
        <v>43300</v>
      </c>
    </row>
    <row r="6" spans="1:3" x14ac:dyDescent="0.3">
      <c r="A6" s="168" t="s">
        <v>280</v>
      </c>
      <c r="B6" s="168" t="s">
        <v>281</v>
      </c>
      <c r="C6" s="170">
        <v>43300</v>
      </c>
    </row>
    <row r="7" spans="1:3" x14ac:dyDescent="0.3">
      <c r="A7" s="171" t="s">
        <v>282</v>
      </c>
      <c r="B7" s="137" t="s">
        <v>281</v>
      </c>
      <c r="C7" s="170">
        <v>43300</v>
      </c>
    </row>
    <row r="8" spans="1:3" x14ac:dyDescent="0.3">
      <c r="A8" s="171"/>
      <c r="C8" s="170"/>
    </row>
    <row r="9" spans="1:3" x14ac:dyDescent="0.3">
      <c r="C9" s="170"/>
    </row>
    <row r="10" spans="1:3" x14ac:dyDescent="0.3">
      <c r="A10" s="137" t="s">
        <v>283</v>
      </c>
      <c r="B10" s="137" t="s">
        <v>284</v>
      </c>
      <c r="C10" s="170">
        <v>43300</v>
      </c>
    </row>
    <row r="11" spans="1:3" x14ac:dyDescent="0.3">
      <c r="A11" s="137" t="s">
        <v>285</v>
      </c>
      <c r="B11" s="137" t="s">
        <v>284</v>
      </c>
      <c r="C11" s="170">
        <v>43311</v>
      </c>
    </row>
    <row r="12" spans="1:3" x14ac:dyDescent="0.3">
      <c r="A12" s="137" t="s">
        <v>286</v>
      </c>
      <c r="B12" s="137" t="s">
        <v>287</v>
      </c>
      <c r="C12" s="170">
        <v>43304</v>
      </c>
    </row>
    <row r="13" spans="1:3" x14ac:dyDescent="0.3">
      <c r="A13" s="168" t="s">
        <v>288</v>
      </c>
      <c r="B13" s="168" t="s">
        <v>287</v>
      </c>
      <c r="C13" s="169">
        <v>43305</v>
      </c>
    </row>
    <row r="15" spans="1:3" x14ac:dyDescent="0.3">
      <c r="A15" s="137" t="s">
        <v>289</v>
      </c>
      <c r="B15" s="137" t="s">
        <v>284</v>
      </c>
      <c r="C15" s="170">
        <v>43308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498C3-7E54-4DFA-9DA1-56DE486B803B}">
  <sheetPr codeName="Sheet12"/>
  <dimension ref="A2:EB277"/>
  <sheetViews>
    <sheetView zoomScaleNormal="100" workbookViewId="0">
      <pane xSplit="2" ySplit="15" topLeftCell="C16" activePane="bottomRight" state="frozen"/>
      <selection pane="topRight" activeCell="C1" sqref="C1"/>
      <selection pane="bottomLeft" activeCell="A16" sqref="A16"/>
      <selection pane="bottomRight" activeCell="A16" sqref="A16:XFD19"/>
    </sheetView>
  </sheetViews>
  <sheetFormatPr defaultColWidth="8.88671875" defaultRowHeight="14.4" outlineLevelRow="1" x14ac:dyDescent="0.3"/>
  <cols>
    <col min="1" max="1" width="16.5546875" style="137" bestFit="1" customWidth="1"/>
    <col min="2" max="2" width="16.88671875" style="137" bestFit="1" customWidth="1"/>
    <col min="3" max="4" width="8" style="137" bestFit="1" customWidth="1"/>
    <col min="5" max="7" width="4.5546875" style="137" bestFit="1" customWidth="1"/>
    <col min="8" max="8" width="6" style="137" customWidth="1"/>
    <col min="9" max="12" width="3.5546875" style="137" bestFit="1" customWidth="1"/>
    <col min="13" max="13" width="8" style="137" bestFit="1" customWidth="1"/>
    <col min="14" max="18" width="4.5546875" style="137" bestFit="1" customWidth="1"/>
    <col min="19" max="20" width="9" style="137" bestFit="1" customWidth="1"/>
    <col min="21" max="22" width="4.5546875" style="137" bestFit="1" customWidth="1"/>
    <col min="23" max="23" width="9" style="137" bestFit="1" customWidth="1"/>
    <col min="24" max="28" width="4.5546875" style="137" bestFit="1" customWidth="1"/>
    <col min="29" max="29" width="9" style="137" bestFit="1" customWidth="1"/>
    <col min="30" max="33" width="4.44140625" style="137" bestFit="1" customWidth="1"/>
    <col min="34" max="37" width="4.5546875" style="137" bestFit="1" customWidth="1"/>
    <col min="38" max="39" width="9" style="137" bestFit="1" customWidth="1"/>
    <col min="40" max="52" width="4.5546875" style="137" bestFit="1" customWidth="1"/>
    <col min="53" max="53" width="9" style="137" bestFit="1" customWidth="1"/>
    <col min="54" max="55" width="4.5546875" style="137" bestFit="1" customWidth="1"/>
    <col min="56" max="59" width="5.5546875" style="137" bestFit="1" customWidth="1"/>
    <col min="60" max="60" width="9" style="137" bestFit="1" customWidth="1"/>
    <col min="61" max="66" width="5.5546875" style="137" bestFit="1" customWidth="1"/>
    <col min="67" max="67" width="8" style="137" bestFit="1" customWidth="1"/>
    <col min="68" max="68" width="9" style="137" bestFit="1" customWidth="1"/>
    <col min="69" max="70" width="5.5546875" style="137" bestFit="1" customWidth="1"/>
    <col min="71" max="76" width="4.5546875" style="137" bestFit="1" customWidth="1"/>
    <col min="77" max="80" width="5.5546875" style="137" bestFit="1" customWidth="1"/>
    <col min="81" max="81" width="9" style="137" bestFit="1" customWidth="1"/>
    <col min="82" max="82" width="5.5546875" style="137" bestFit="1" customWidth="1"/>
    <col min="83" max="83" width="9" style="137" bestFit="1" customWidth="1"/>
    <col min="84" max="90" width="5.5546875" style="137" bestFit="1" customWidth="1"/>
    <col min="91" max="91" width="9" style="137" bestFit="1" customWidth="1"/>
    <col min="92" max="95" width="4.5546875" style="137" bestFit="1" customWidth="1"/>
    <col min="96" max="100" width="5.5546875" style="137" bestFit="1" customWidth="1"/>
    <col min="101" max="101" width="9" style="137" bestFit="1" customWidth="1"/>
    <col min="102" max="109" width="5.5546875" style="137" bestFit="1" customWidth="1"/>
    <col min="110" max="110" width="9" style="137" bestFit="1" customWidth="1"/>
    <col min="111" max="112" width="4.44140625" style="137" bestFit="1" customWidth="1"/>
    <col min="113" max="113" width="9" style="137" bestFit="1" customWidth="1"/>
    <col min="114" max="115" width="4.44140625" style="137" bestFit="1" customWidth="1"/>
    <col min="116" max="120" width="4.5546875" style="137" bestFit="1" customWidth="1"/>
    <col min="121" max="121" width="9" style="137" bestFit="1" customWidth="1"/>
    <col min="122" max="126" width="4.5546875" style="137" bestFit="1" customWidth="1"/>
    <col min="127" max="127" width="5.44140625" style="137" bestFit="1" customWidth="1"/>
    <col min="128" max="16384" width="8.88671875" style="137"/>
  </cols>
  <sheetData>
    <row r="2" spans="1:132" x14ac:dyDescent="0.3">
      <c r="A2" s="137" t="s">
        <v>290</v>
      </c>
      <c r="C2" s="137">
        <f>COUNTIF(C7:DX15,"=*construcción*")</f>
        <v>8</v>
      </c>
    </row>
    <row r="3" spans="1:132" x14ac:dyDescent="0.3">
      <c r="A3" s="137" t="s">
        <v>291</v>
      </c>
    </row>
    <row r="4" spans="1:132" x14ac:dyDescent="0.3">
      <c r="A4" s="137" t="s">
        <v>292</v>
      </c>
    </row>
    <row r="5" spans="1:132" x14ac:dyDescent="0.3">
      <c r="C5" s="226" t="s">
        <v>112</v>
      </c>
      <c r="D5" s="226"/>
      <c r="E5" s="226"/>
      <c r="F5" s="226"/>
      <c r="G5" s="226"/>
      <c r="H5" s="226"/>
      <c r="I5" s="226" t="s">
        <v>334</v>
      </c>
      <c r="J5" s="227"/>
      <c r="K5" s="227"/>
      <c r="L5" s="227"/>
      <c r="M5" s="227"/>
      <c r="N5" s="227"/>
      <c r="O5" s="227"/>
      <c r="P5" s="227"/>
      <c r="Q5" s="227"/>
      <c r="R5" s="227"/>
      <c r="S5" s="227"/>
      <c r="T5" s="227"/>
      <c r="U5" s="227"/>
      <c r="V5" s="227"/>
      <c r="W5" s="227"/>
      <c r="X5" s="226" t="s">
        <v>337</v>
      </c>
      <c r="Y5" s="227"/>
      <c r="Z5" s="227"/>
      <c r="AA5" s="227"/>
      <c r="AB5" s="227"/>
      <c r="AC5" s="227"/>
      <c r="AD5" s="227"/>
      <c r="AE5" s="227"/>
      <c r="AF5" s="227"/>
      <c r="AG5" s="227"/>
      <c r="AH5" s="227"/>
      <c r="AI5" s="227"/>
      <c r="AJ5" s="227"/>
      <c r="AK5" s="227"/>
      <c r="AL5" s="227"/>
      <c r="AM5" s="226" t="s">
        <v>335</v>
      </c>
      <c r="AN5" s="227"/>
      <c r="AO5" s="227"/>
      <c r="AP5" s="227"/>
      <c r="AQ5" s="227"/>
      <c r="AR5" s="227"/>
      <c r="AS5" s="227"/>
      <c r="AT5" s="227"/>
      <c r="AU5" s="227"/>
      <c r="AV5" s="227"/>
      <c r="AW5" s="227"/>
      <c r="AX5" s="227"/>
      <c r="AY5" s="227"/>
      <c r="AZ5" s="227"/>
      <c r="BA5" s="227"/>
      <c r="BB5" s="226" t="s">
        <v>338</v>
      </c>
      <c r="BC5" s="227"/>
      <c r="BD5" s="227"/>
      <c r="BE5" s="227"/>
      <c r="BF5" s="227"/>
      <c r="BG5" s="227"/>
      <c r="BH5" s="227"/>
      <c r="BI5" s="227"/>
      <c r="BJ5" s="227"/>
      <c r="BK5" s="227"/>
      <c r="BL5" s="227"/>
      <c r="BM5" s="227"/>
      <c r="BN5" s="227"/>
      <c r="BO5" s="227"/>
      <c r="BP5" s="227"/>
      <c r="BQ5" s="226" t="s">
        <v>336</v>
      </c>
      <c r="BR5" s="227"/>
      <c r="BS5" s="227"/>
      <c r="BT5" s="227"/>
      <c r="BU5" s="227"/>
      <c r="BV5" s="227"/>
      <c r="BW5" s="227"/>
      <c r="BX5" s="227"/>
      <c r="BY5" s="227"/>
      <c r="BZ5" s="227"/>
      <c r="CA5" s="227"/>
      <c r="CB5" s="227"/>
      <c r="CC5" s="227"/>
      <c r="CD5" s="227"/>
      <c r="CE5" s="227"/>
      <c r="CF5" s="226" t="s">
        <v>339</v>
      </c>
      <c r="CG5" s="227"/>
      <c r="CH5" s="227"/>
      <c r="CI5" s="227"/>
      <c r="CJ5" s="227"/>
      <c r="CK5" s="227"/>
      <c r="CL5" s="227"/>
      <c r="CM5" s="227"/>
      <c r="CN5" s="227"/>
      <c r="CO5" s="227"/>
      <c r="CP5" s="227"/>
      <c r="CQ5" s="227"/>
      <c r="CR5" s="227"/>
      <c r="CS5" s="227"/>
      <c r="CT5" s="227"/>
      <c r="CU5" s="226" t="s">
        <v>340</v>
      </c>
      <c r="CV5" s="227"/>
      <c r="CW5" s="227"/>
      <c r="CX5" s="227"/>
      <c r="CY5" s="227"/>
      <c r="CZ5" s="227"/>
      <c r="DA5" s="227"/>
      <c r="DB5" s="227"/>
      <c r="DC5" s="227"/>
      <c r="DD5" s="227"/>
      <c r="DE5" s="227"/>
      <c r="DF5" s="227"/>
      <c r="DG5" s="227"/>
      <c r="DH5" s="227"/>
      <c r="DI5" s="227"/>
      <c r="DJ5" s="226" t="s">
        <v>341</v>
      </c>
      <c r="DK5" s="227"/>
      <c r="DL5" s="227"/>
      <c r="DM5" s="227"/>
      <c r="DN5" s="227"/>
      <c r="DO5" s="227"/>
      <c r="DP5" s="227"/>
      <c r="DQ5" s="227"/>
      <c r="DR5" s="227"/>
      <c r="DS5" s="227"/>
      <c r="DT5" s="227"/>
      <c r="DU5" s="227"/>
      <c r="DV5" s="227"/>
      <c r="DW5" s="227"/>
      <c r="DX5" s="227"/>
    </row>
    <row r="6" spans="1:132" s="205" customFormat="1" ht="15" thickBot="1" x14ac:dyDescent="0.35">
      <c r="C6" s="206">
        <v>43306</v>
      </c>
      <c r="D6" s="206">
        <v>43307</v>
      </c>
      <c r="E6" s="206">
        <v>43308</v>
      </c>
      <c r="F6" s="206">
        <v>43311</v>
      </c>
      <c r="G6" s="206">
        <v>43312</v>
      </c>
      <c r="H6" s="206">
        <v>43313</v>
      </c>
      <c r="I6" s="206">
        <v>43314</v>
      </c>
      <c r="J6" s="206">
        <v>43315</v>
      </c>
      <c r="K6" s="206">
        <v>43318</v>
      </c>
      <c r="L6" s="206">
        <v>43320</v>
      </c>
      <c r="M6" s="206">
        <v>43321</v>
      </c>
      <c r="N6" s="206">
        <v>43322</v>
      </c>
      <c r="O6" s="206">
        <v>43325</v>
      </c>
      <c r="P6" s="206">
        <v>43326</v>
      </c>
      <c r="Q6" s="206">
        <v>43327</v>
      </c>
      <c r="R6" s="206">
        <v>43328</v>
      </c>
      <c r="S6" s="206">
        <v>43329</v>
      </c>
      <c r="T6" s="206">
        <v>43333</v>
      </c>
      <c r="U6" s="206">
        <v>43334</v>
      </c>
      <c r="V6" s="206">
        <v>43335</v>
      </c>
      <c r="W6" s="206">
        <v>43336</v>
      </c>
      <c r="X6" s="206">
        <v>43339</v>
      </c>
      <c r="Y6" s="206">
        <v>43340</v>
      </c>
      <c r="Z6" s="206">
        <v>43341</v>
      </c>
      <c r="AA6" s="206">
        <v>43342</v>
      </c>
      <c r="AB6" s="206">
        <v>43343</v>
      </c>
      <c r="AC6" s="206">
        <v>43346</v>
      </c>
      <c r="AD6" s="206">
        <v>43347</v>
      </c>
      <c r="AE6" s="206">
        <v>43348</v>
      </c>
      <c r="AF6" s="206">
        <v>43349</v>
      </c>
      <c r="AG6" s="206">
        <v>43350</v>
      </c>
      <c r="AH6" s="206">
        <v>43353</v>
      </c>
      <c r="AI6" s="206">
        <v>43354</v>
      </c>
      <c r="AJ6" s="206">
        <v>43355</v>
      </c>
      <c r="AK6" s="206">
        <v>43356</v>
      </c>
      <c r="AL6" s="206">
        <v>43357</v>
      </c>
      <c r="AM6" s="206">
        <v>43360</v>
      </c>
      <c r="AN6" s="206">
        <v>43361</v>
      </c>
      <c r="AO6" s="206">
        <v>43362</v>
      </c>
      <c r="AP6" s="206">
        <v>43363</v>
      </c>
      <c r="AQ6" s="206">
        <v>43364</v>
      </c>
      <c r="AR6" s="206">
        <v>43367</v>
      </c>
      <c r="AS6" s="206">
        <v>43368</v>
      </c>
      <c r="AT6" s="206">
        <v>43369</v>
      </c>
      <c r="AU6" s="206">
        <v>43370</v>
      </c>
      <c r="AV6" s="206">
        <v>43371</v>
      </c>
      <c r="AW6" s="206">
        <v>43374</v>
      </c>
      <c r="AX6" s="206">
        <v>43375</v>
      </c>
      <c r="AY6" s="206">
        <v>43376</v>
      </c>
      <c r="AZ6" s="206">
        <v>43377</v>
      </c>
      <c r="BA6" s="206">
        <v>43378</v>
      </c>
      <c r="BB6" s="206">
        <v>43381</v>
      </c>
      <c r="BC6" s="206">
        <v>43382</v>
      </c>
      <c r="BD6" s="206">
        <v>43383</v>
      </c>
      <c r="BE6" s="206">
        <v>43384</v>
      </c>
      <c r="BF6" s="206">
        <v>43385</v>
      </c>
      <c r="BG6" s="206">
        <v>43389</v>
      </c>
      <c r="BH6" s="206">
        <v>43390</v>
      </c>
      <c r="BI6" s="206">
        <v>43391</v>
      </c>
      <c r="BJ6" s="206">
        <v>43392</v>
      </c>
      <c r="BK6" s="206">
        <v>43395</v>
      </c>
      <c r="BL6" s="206">
        <v>43396</v>
      </c>
      <c r="BM6" s="206">
        <v>43397</v>
      </c>
      <c r="BN6" s="206">
        <v>43398</v>
      </c>
      <c r="BO6" s="206">
        <v>43399</v>
      </c>
      <c r="BP6" s="206">
        <v>43402</v>
      </c>
      <c r="BQ6" s="206">
        <v>43403</v>
      </c>
      <c r="BR6" s="206">
        <v>43404</v>
      </c>
      <c r="BS6" s="206">
        <v>43405</v>
      </c>
      <c r="BT6" s="206">
        <v>43406</v>
      </c>
      <c r="BU6" s="206">
        <v>43410</v>
      </c>
      <c r="BV6" s="206">
        <v>43411</v>
      </c>
      <c r="BW6" s="206">
        <v>43412</v>
      </c>
      <c r="BX6" s="206">
        <v>43413</v>
      </c>
      <c r="BY6" s="206">
        <v>43417</v>
      </c>
      <c r="BZ6" s="206">
        <v>43418</v>
      </c>
      <c r="CA6" s="206">
        <v>43419</v>
      </c>
      <c r="CB6" s="206">
        <v>43420</v>
      </c>
      <c r="CC6" s="206">
        <v>43423</v>
      </c>
      <c r="CD6" s="206">
        <v>43424</v>
      </c>
      <c r="CE6" s="206">
        <v>43425</v>
      </c>
      <c r="CF6" s="206">
        <v>43426</v>
      </c>
      <c r="CG6" s="206">
        <v>43427</v>
      </c>
      <c r="CH6" s="206">
        <v>43430</v>
      </c>
      <c r="CI6" s="206">
        <v>43431</v>
      </c>
      <c r="CJ6" s="206">
        <v>43432</v>
      </c>
      <c r="CK6" s="206">
        <v>43433</v>
      </c>
      <c r="CL6" s="206">
        <v>43434</v>
      </c>
      <c r="CM6" s="206">
        <v>43437</v>
      </c>
      <c r="CN6" s="206">
        <v>43438</v>
      </c>
      <c r="CO6" s="206">
        <v>43439</v>
      </c>
      <c r="CP6" s="206">
        <v>43440</v>
      </c>
      <c r="CQ6" s="206">
        <v>43441</v>
      </c>
      <c r="CR6" s="206">
        <v>43444</v>
      </c>
      <c r="CS6" s="206">
        <v>43445</v>
      </c>
      <c r="CT6" s="206">
        <v>43446</v>
      </c>
      <c r="CU6" s="206">
        <v>43447</v>
      </c>
      <c r="CV6" s="206">
        <v>43448</v>
      </c>
      <c r="CW6" s="206">
        <v>43451</v>
      </c>
      <c r="CX6" s="206">
        <v>43452</v>
      </c>
      <c r="CY6" s="206">
        <v>43453</v>
      </c>
      <c r="CZ6" s="206">
        <v>43454</v>
      </c>
      <c r="DA6" s="206">
        <v>43455</v>
      </c>
      <c r="DB6" s="206">
        <v>43458</v>
      </c>
      <c r="DC6" s="206">
        <v>43460</v>
      </c>
      <c r="DD6" s="206">
        <v>43461</v>
      </c>
      <c r="DE6" s="206">
        <v>43462</v>
      </c>
      <c r="DF6" s="206">
        <v>43465</v>
      </c>
      <c r="DG6" s="206">
        <v>43467</v>
      </c>
      <c r="DH6" s="206">
        <v>43468</v>
      </c>
      <c r="DI6" s="206">
        <v>43469</v>
      </c>
      <c r="DJ6" s="206">
        <v>43473</v>
      </c>
      <c r="DK6" s="206">
        <v>43474</v>
      </c>
      <c r="DL6" s="206">
        <v>43475</v>
      </c>
      <c r="DM6" s="206">
        <v>43476</v>
      </c>
      <c r="DN6" s="206">
        <v>43479</v>
      </c>
      <c r="DO6" s="206">
        <v>43480</v>
      </c>
      <c r="DP6" s="206">
        <v>43481</v>
      </c>
      <c r="DQ6" s="206">
        <v>43482</v>
      </c>
      <c r="DR6" s="206">
        <v>43483</v>
      </c>
      <c r="DS6" s="206">
        <v>43486</v>
      </c>
      <c r="DT6" s="206">
        <v>43487</v>
      </c>
      <c r="DU6" s="206">
        <v>43488</v>
      </c>
      <c r="DV6" s="206">
        <v>43489</v>
      </c>
      <c r="DW6" s="206">
        <v>43490</v>
      </c>
      <c r="DX6" s="206">
        <v>43493</v>
      </c>
      <c r="DY6" s="206">
        <v>43494</v>
      </c>
      <c r="DZ6" s="206">
        <v>43495</v>
      </c>
      <c r="EA6" s="206">
        <v>43496</v>
      </c>
      <c r="EB6" s="206">
        <v>43497</v>
      </c>
    </row>
    <row r="7" spans="1:132" ht="15" thickBot="1" x14ac:dyDescent="0.35">
      <c r="A7" s="170" t="s">
        <v>293</v>
      </c>
      <c r="B7" s="186"/>
      <c r="C7" s="187" t="s">
        <v>294</v>
      </c>
      <c r="D7" s="187" t="s">
        <v>295</v>
      </c>
      <c r="E7" s="187" t="s">
        <v>296</v>
      </c>
      <c r="F7" s="187" t="s">
        <v>296</v>
      </c>
      <c r="G7" s="188" t="s">
        <v>296</v>
      </c>
      <c r="H7" s="187" t="s">
        <v>296</v>
      </c>
      <c r="I7" s="189"/>
      <c r="J7" s="189"/>
      <c r="K7" s="189"/>
      <c r="L7" s="189"/>
      <c r="M7" s="189"/>
      <c r="N7" s="189"/>
      <c r="O7" s="189"/>
      <c r="P7" s="189"/>
      <c r="Q7" s="189"/>
      <c r="R7" s="189"/>
      <c r="S7" s="189"/>
      <c r="T7" s="189"/>
      <c r="U7" s="189"/>
      <c r="V7" s="189"/>
      <c r="W7" s="189"/>
      <c r="X7" s="189"/>
      <c r="Y7" s="189"/>
      <c r="Z7" s="189"/>
      <c r="AA7" s="189"/>
      <c r="AB7" s="189"/>
      <c r="AC7" s="189"/>
      <c r="AD7" s="189"/>
      <c r="AE7" s="189"/>
      <c r="AF7" s="189"/>
      <c r="AG7" s="189"/>
      <c r="AH7" s="189"/>
      <c r="AI7" s="189"/>
      <c r="AJ7" s="189"/>
      <c r="AK7" s="189"/>
      <c r="AL7" s="189"/>
      <c r="AM7" s="189"/>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c r="BZ7" s="189"/>
      <c r="CA7" s="189"/>
      <c r="CB7" s="189"/>
      <c r="CC7" s="189"/>
      <c r="CD7" s="189"/>
      <c r="CE7" s="189"/>
      <c r="CF7" s="189"/>
      <c r="CG7" s="189"/>
      <c r="CH7" s="189"/>
      <c r="CI7" s="189"/>
      <c r="CJ7" s="189"/>
      <c r="CK7" s="189"/>
      <c r="CL7" s="189"/>
      <c r="CM7" s="189"/>
      <c r="CN7" s="189"/>
      <c r="CO7" s="189"/>
      <c r="CP7" s="189"/>
      <c r="CQ7" s="189"/>
      <c r="CR7" s="189"/>
      <c r="CS7" s="189"/>
      <c r="CT7" s="189"/>
      <c r="CU7" s="189"/>
      <c r="CV7" s="189"/>
      <c r="CW7" s="189"/>
      <c r="CX7" s="189"/>
      <c r="CY7" s="189"/>
      <c r="CZ7" s="189"/>
      <c r="DA7" s="189"/>
      <c r="DB7" s="189"/>
      <c r="DC7" s="189"/>
      <c r="DD7" s="189"/>
      <c r="DE7" s="189"/>
      <c r="DF7" s="189"/>
      <c r="DG7" s="189"/>
      <c r="DH7" s="189"/>
      <c r="DI7" s="189"/>
      <c r="DJ7" s="189"/>
      <c r="DK7" s="189"/>
      <c r="DL7" s="189"/>
      <c r="DM7" s="189"/>
      <c r="DN7" s="189"/>
      <c r="DO7" s="189"/>
      <c r="DP7" s="189"/>
      <c r="DQ7" s="189"/>
      <c r="DR7" s="189"/>
      <c r="DS7" s="189"/>
      <c r="DT7" s="189"/>
      <c r="DU7" s="189"/>
      <c r="DV7" s="189"/>
      <c r="DW7" s="189"/>
      <c r="DX7" s="189"/>
    </row>
    <row r="8" spans="1:132" ht="15" thickBot="1" x14ac:dyDescent="0.35">
      <c r="A8" s="170" t="s">
        <v>178</v>
      </c>
      <c r="B8" s="186"/>
      <c r="C8" s="189"/>
      <c r="D8" s="189"/>
      <c r="E8" s="189"/>
      <c r="F8" s="189"/>
      <c r="G8" s="189"/>
      <c r="H8" s="189"/>
      <c r="I8" s="225" t="s">
        <v>378</v>
      </c>
      <c r="J8" s="225"/>
      <c r="K8" s="225"/>
      <c r="L8" s="225"/>
      <c r="M8" s="225"/>
      <c r="N8" s="225" t="s">
        <v>379</v>
      </c>
      <c r="O8" s="225"/>
      <c r="P8" s="225"/>
      <c r="Q8" s="225"/>
      <c r="R8" s="225"/>
      <c r="S8" s="225" t="s">
        <v>380</v>
      </c>
      <c r="T8" s="225"/>
      <c r="U8" s="225"/>
      <c r="V8" s="225"/>
      <c r="W8" s="225"/>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c r="CL8" s="189"/>
      <c r="CM8" s="189"/>
      <c r="CN8" s="189"/>
      <c r="CO8" s="189"/>
      <c r="CP8" s="189"/>
      <c r="CQ8" s="189"/>
      <c r="CR8" s="189"/>
      <c r="CS8" s="189"/>
      <c r="CT8" s="189"/>
      <c r="CU8" s="189"/>
      <c r="CV8" s="189"/>
      <c r="CW8" s="189"/>
      <c r="CX8" s="189"/>
      <c r="CY8" s="189"/>
      <c r="CZ8" s="189"/>
      <c r="DA8" s="189"/>
      <c r="DB8" s="189"/>
      <c r="DC8" s="189"/>
      <c r="DD8" s="189"/>
      <c r="DE8" s="189"/>
      <c r="DF8" s="189"/>
      <c r="DG8" s="189"/>
      <c r="DH8" s="189"/>
      <c r="DI8" s="189"/>
      <c r="DJ8" s="189"/>
      <c r="DK8" s="189"/>
      <c r="DL8" s="189"/>
      <c r="DM8" s="189"/>
      <c r="DN8" s="189"/>
      <c r="DO8" s="189"/>
      <c r="DP8" s="189"/>
      <c r="DQ8" s="189"/>
      <c r="DR8" s="189"/>
      <c r="DS8" s="189"/>
      <c r="DT8" s="189"/>
      <c r="DU8" s="189"/>
      <c r="DV8" s="189"/>
      <c r="DW8" s="189"/>
      <c r="DX8" s="189"/>
    </row>
    <row r="9" spans="1:132" ht="15" thickBot="1" x14ac:dyDescent="0.35">
      <c r="A9" s="170" t="s">
        <v>218</v>
      </c>
      <c r="B9" s="186"/>
      <c r="C9" s="189"/>
      <c r="D9" s="189"/>
      <c r="E9" s="189"/>
      <c r="F9" s="189"/>
      <c r="G9" s="189"/>
      <c r="H9" s="189"/>
      <c r="I9" s="189"/>
      <c r="J9" s="189"/>
      <c r="K9" s="189"/>
      <c r="L9" s="189"/>
      <c r="M9" s="189"/>
      <c r="N9" s="189"/>
      <c r="O9" s="189"/>
      <c r="P9" s="189"/>
      <c r="Q9" s="189"/>
      <c r="R9" s="189"/>
      <c r="S9" s="189"/>
      <c r="T9" s="189"/>
      <c r="U9" s="189"/>
      <c r="V9" s="189"/>
      <c r="W9" s="189"/>
      <c r="X9" s="225" t="s">
        <v>290</v>
      </c>
      <c r="Y9" s="225"/>
      <c r="Z9" s="225"/>
      <c r="AA9" s="225"/>
      <c r="AB9" s="225"/>
      <c r="AC9" s="225" t="s">
        <v>297</v>
      </c>
      <c r="AD9" s="225"/>
      <c r="AE9" s="225"/>
      <c r="AF9" s="225"/>
      <c r="AG9" s="225"/>
      <c r="AH9" s="225" t="s">
        <v>298</v>
      </c>
      <c r="AI9" s="225"/>
      <c r="AJ9" s="225"/>
      <c r="AK9" s="225"/>
      <c r="AL9" s="225"/>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c r="CM9" s="189"/>
      <c r="CN9" s="189"/>
      <c r="CO9" s="189"/>
      <c r="CP9" s="189"/>
      <c r="CQ9" s="189"/>
      <c r="CR9" s="189"/>
      <c r="CS9" s="189"/>
      <c r="CT9" s="189"/>
      <c r="CU9" s="189"/>
      <c r="CV9" s="189"/>
      <c r="CW9" s="189"/>
      <c r="CX9" s="189"/>
      <c r="CY9" s="189"/>
      <c r="CZ9" s="189"/>
      <c r="DA9" s="189"/>
      <c r="DB9" s="189"/>
      <c r="DC9" s="189"/>
      <c r="DD9" s="189"/>
      <c r="DE9" s="189"/>
      <c r="DF9" s="189"/>
      <c r="DG9" s="189"/>
      <c r="DH9" s="189"/>
      <c r="DI9" s="189"/>
      <c r="DJ9" s="189"/>
      <c r="DK9" s="189"/>
      <c r="DL9" s="189"/>
      <c r="DM9" s="189"/>
      <c r="DN9" s="189"/>
      <c r="DO9" s="189"/>
      <c r="DP9" s="189"/>
      <c r="DQ9" s="189"/>
      <c r="DR9" s="189"/>
      <c r="DS9" s="189"/>
      <c r="DT9" s="189"/>
      <c r="DU9" s="189"/>
      <c r="DV9" s="189"/>
      <c r="DW9" s="189"/>
      <c r="DX9" s="189"/>
    </row>
    <row r="10" spans="1:132" ht="15" thickBot="1" x14ac:dyDescent="0.35">
      <c r="A10" s="170" t="s">
        <v>225</v>
      </c>
      <c r="B10" s="186"/>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225" t="s">
        <v>290</v>
      </c>
      <c r="AN10" s="225"/>
      <c r="AO10" s="225"/>
      <c r="AP10" s="225"/>
      <c r="AQ10" s="225"/>
      <c r="AR10" s="225" t="s">
        <v>297</v>
      </c>
      <c r="AS10" s="225"/>
      <c r="AT10" s="225"/>
      <c r="AU10" s="225"/>
      <c r="AV10" s="225"/>
      <c r="AW10" s="225" t="s">
        <v>298</v>
      </c>
      <c r="AX10" s="225"/>
      <c r="AY10" s="225"/>
      <c r="AZ10" s="225"/>
      <c r="BA10" s="225"/>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c r="CM10" s="189"/>
      <c r="CN10" s="189"/>
      <c r="CO10" s="189"/>
      <c r="CP10" s="189"/>
      <c r="CQ10" s="189"/>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row>
    <row r="11" spans="1:132" ht="15" thickBot="1" x14ac:dyDescent="0.35">
      <c r="A11" s="170" t="s">
        <v>227</v>
      </c>
      <c r="B11" s="186"/>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225" t="s">
        <v>290</v>
      </c>
      <c r="BC11" s="225"/>
      <c r="BD11" s="225"/>
      <c r="BE11" s="225"/>
      <c r="BF11" s="225"/>
      <c r="BG11" s="225" t="s">
        <v>297</v>
      </c>
      <c r="BH11" s="225"/>
      <c r="BI11" s="225"/>
      <c r="BJ11" s="225"/>
      <c r="BK11" s="225"/>
      <c r="BL11" s="225" t="s">
        <v>298</v>
      </c>
      <c r="BM11" s="225"/>
      <c r="BN11" s="225"/>
      <c r="BO11" s="225"/>
      <c r="BP11" s="225"/>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9"/>
      <c r="DW11" s="189"/>
      <c r="DX11" s="189"/>
    </row>
    <row r="12" spans="1:132" ht="15" thickBot="1" x14ac:dyDescent="0.35">
      <c r="A12" s="170" t="s">
        <v>248</v>
      </c>
      <c r="B12" s="186"/>
      <c r="C12" s="189"/>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225" t="s">
        <v>290</v>
      </c>
      <c r="BR12" s="225"/>
      <c r="BS12" s="225"/>
      <c r="BT12" s="225"/>
      <c r="BU12" s="225"/>
      <c r="BV12" s="225" t="s">
        <v>297</v>
      </c>
      <c r="BW12" s="225"/>
      <c r="BX12" s="225"/>
      <c r="BY12" s="225"/>
      <c r="BZ12" s="225"/>
      <c r="CA12" s="225" t="s">
        <v>298</v>
      </c>
      <c r="CB12" s="225"/>
      <c r="CC12" s="225"/>
      <c r="CD12" s="225"/>
      <c r="CE12" s="225"/>
      <c r="CF12" s="189"/>
      <c r="CG12" s="189"/>
      <c r="CH12" s="189"/>
      <c r="CI12" s="189"/>
      <c r="CJ12" s="189"/>
      <c r="CK12" s="189"/>
      <c r="CL12" s="189"/>
      <c r="CM12" s="189"/>
      <c r="CN12" s="189"/>
      <c r="CO12" s="189"/>
      <c r="CP12" s="189"/>
      <c r="CQ12" s="189"/>
      <c r="CR12" s="189"/>
      <c r="CS12" s="189"/>
      <c r="CT12" s="189"/>
      <c r="CU12" s="189"/>
      <c r="CV12" s="189"/>
      <c r="CW12" s="189"/>
      <c r="CX12" s="189"/>
      <c r="CY12" s="189"/>
      <c r="CZ12" s="189"/>
      <c r="DA12" s="189"/>
      <c r="DB12" s="189"/>
      <c r="DC12" s="189"/>
      <c r="DD12" s="189"/>
      <c r="DE12" s="189"/>
      <c r="DF12" s="189"/>
      <c r="DG12" s="189"/>
      <c r="DH12" s="189"/>
      <c r="DI12" s="189"/>
      <c r="DJ12" s="189"/>
      <c r="DK12" s="189"/>
      <c r="DL12" s="189"/>
      <c r="DM12" s="189"/>
      <c r="DN12" s="189"/>
      <c r="DO12" s="189"/>
      <c r="DP12" s="189"/>
      <c r="DQ12" s="189"/>
      <c r="DR12" s="189"/>
      <c r="DS12" s="189"/>
      <c r="DT12" s="189"/>
      <c r="DU12" s="189"/>
      <c r="DV12" s="189"/>
      <c r="DW12" s="189"/>
      <c r="DX12" s="189"/>
    </row>
    <row r="13" spans="1:132" ht="15" thickBot="1" x14ac:dyDescent="0.35">
      <c r="A13" s="170" t="s">
        <v>249</v>
      </c>
      <c r="B13" s="186"/>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225" t="s">
        <v>290</v>
      </c>
      <c r="CG13" s="225"/>
      <c r="CH13" s="225"/>
      <c r="CI13" s="225"/>
      <c r="CJ13" s="225"/>
      <c r="CK13" s="225" t="s">
        <v>297</v>
      </c>
      <c r="CL13" s="225"/>
      <c r="CM13" s="225"/>
      <c r="CN13" s="225"/>
      <c r="CO13" s="225"/>
      <c r="CP13" s="225" t="s">
        <v>298</v>
      </c>
      <c r="CQ13" s="225"/>
      <c r="CR13" s="225"/>
      <c r="CS13" s="225"/>
      <c r="CT13" s="225"/>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89"/>
      <c r="DV13" s="189"/>
      <c r="DW13" s="189"/>
      <c r="DX13" s="189"/>
    </row>
    <row r="14" spans="1:132" ht="15" thickBot="1" x14ac:dyDescent="0.35">
      <c r="A14" s="170" t="s">
        <v>257</v>
      </c>
      <c r="B14" s="186"/>
      <c r="C14" s="189"/>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225" t="s">
        <v>290</v>
      </c>
      <c r="CV14" s="225"/>
      <c r="CW14" s="225"/>
      <c r="CX14" s="225"/>
      <c r="CY14" s="225"/>
      <c r="CZ14" s="225" t="s">
        <v>297</v>
      </c>
      <c r="DA14" s="225"/>
      <c r="DB14" s="225"/>
      <c r="DC14" s="225"/>
      <c r="DD14" s="225"/>
      <c r="DE14" s="225" t="s">
        <v>298</v>
      </c>
      <c r="DF14" s="225"/>
      <c r="DG14" s="225"/>
      <c r="DH14" s="225"/>
      <c r="DI14" s="225"/>
      <c r="DJ14" s="189"/>
      <c r="DK14" s="189"/>
      <c r="DL14" s="189"/>
      <c r="DM14" s="189"/>
      <c r="DN14" s="189"/>
      <c r="DO14" s="189"/>
      <c r="DP14" s="189"/>
      <c r="DQ14" s="189"/>
      <c r="DR14" s="189"/>
      <c r="DS14" s="189"/>
      <c r="DT14" s="189"/>
      <c r="DU14" s="189"/>
      <c r="DV14" s="189"/>
      <c r="DW14" s="189"/>
      <c r="DX14" s="189"/>
    </row>
    <row r="15" spans="1:132" ht="15" thickBot="1" x14ac:dyDescent="0.35">
      <c r="A15" s="170" t="s">
        <v>270</v>
      </c>
      <c r="B15" s="186"/>
      <c r="C15" s="189"/>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89"/>
      <c r="AI15" s="189"/>
      <c r="AJ15" s="189"/>
      <c r="AK15" s="189"/>
      <c r="AL15" s="189"/>
      <c r="AM15" s="189"/>
      <c r="AN15" s="189"/>
      <c r="AO15" s="189"/>
      <c r="AP15" s="189"/>
      <c r="AQ15" s="189"/>
      <c r="AR15" s="189"/>
      <c r="AS15" s="189"/>
      <c r="AT15" s="189"/>
      <c r="AU15" s="189"/>
      <c r="AV15" s="189"/>
      <c r="AW15" s="189"/>
      <c r="AX15" s="189"/>
      <c r="AY15" s="189"/>
      <c r="AZ15" s="189"/>
      <c r="BA15" s="189"/>
      <c r="BB15" s="189"/>
      <c r="BC15" s="189"/>
      <c r="BD15" s="189"/>
      <c r="BE15" s="189"/>
      <c r="BF15" s="189"/>
      <c r="BG15" s="189"/>
      <c r="BH15" s="189"/>
      <c r="BI15" s="189"/>
      <c r="BJ15" s="189"/>
      <c r="BK15" s="189"/>
      <c r="BL15" s="189"/>
      <c r="BM15" s="189"/>
      <c r="BN15" s="189"/>
      <c r="BO15" s="189"/>
      <c r="BP15" s="189"/>
      <c r="BQ15" s="189"/>
      <c r="BR15" s="189"/>
      <c r="BS15" s="189"/>
      <c r="BT15" s="189"/>
      <c r="BU15" s="189"/>
      <c r="BV15" s="189"/>
      <c r="BW15" s="189"/>
      <c r="BX15" s="189"/>
      <c r="BY15" s="189"/>
      <c r="BZ15" s="189"/>
      <c r="CA15" s="189"/>
      <c r="CB15" s="189"/>
      <c r="CC15" s="189"/>
      <c r="CD15" s="189"/>
      <c r="CE15" s="189"/>
      <c r="CF15" s="189"/>
      <c r="CG15" s="189"/>
      <c r="CH15" s="189"/>
      <c r="CI15" s="189"/>
      <c r="CJ15" s="189"/>
      <c r="CK15" s="189"/>
      <c r="CL15" s="189"/>
      <c r="CM15" s="189"/>
      <c r="CN15" s="189"/>
      <c r="CO15" s="189"/>
      <c r="CP15" s="189"/>
      <c r="CQ15" s="189"/>
      <c r="CR15" s="189"/>
      <c r="CS15" s="189"/>
      <c r="CT15" s="189"/>
      <c r="CU15" s="189"/>
      <c r="CV15" s="189"/>
      <c r="CW15" s="189"/>
      <c r="CX15" s="189"/>
      <c r="CY15" s="189"/>
      <c r="CZ15" s="189"/>
      <c r="DA15" s="189"/>
      <c r="DB15" s="189"/>
      <c r="DC15" s="189"/>
      <c r="DD15" s="189"/>
      <c r="DE15" s="189"/>
      <c r="DF15" s="189"/>
      <c r="DG15" s="189"/>
      <c r="DH15" s="189"/>
      <c r="DI15" s="189"/>
      <c r="DJ15" s="225" t="s">
        <v>290</v>
      </c>
      <c r="DK15" s="225"/>
      <c r="DL15" s="225"/>
      <c r="DM15" s="225"/>
      <c r="DN15" s="225"/>
      <c r="DO15" s="225" t="s">
        <v>297</v>
      </c>
      <c r="DP15" s="225"/>
      <c r="DQ15" s="225"/>
      <c r="DR15" s="225"/>
      <c r="DS15" s="225"/>
      <c r="DT15" s="225" t="s">
        <v>298</v>
      </c>
      <c r="DU15" s="225"/>
      <c r="DV15" s="225"/>
      <c r="DW15" s="225"/>
      <c r="DX15" s="225"/>
    </row>
    <row r="16" spans="1:132" hidden="1" x14ac:dyDescent="0.3">
      <c r="A16" s="170" t="s">
        <v>299</v>
      </c>
      <c r="B16" s="170"/>
      <c r="D16" s="137">
        <f>INT(NETWORKDAYS.INTL($C$6,D6,1,Holidays!$B$1:$B$10)/5)</f>
        <v>0</v>
      </c>
      <c r="E16" s="137">
        <f>INT(NETWORKDAYS.INTL($C$6,E6,1,Holidays!$B$1:$B$10)/5)</f>
        <v>0</v>
      </c>
      <c r="F16" s="137">
        <f>INT(NETWORKDAYS.INTL($C$6,F6,1,Holidays!$B$1:$B$10)/5)</f>
        <v>0</v>
      </c>
      <c r="H16" s="137">
        <f>INT(NETWORKDAYS.INTL($C$6,G6,1,Holidays!$B$1:$B$10)/5)</f>
        <v>1</v>
      </c>
      <c r="I16" s="137">
        <f>INT(NETWORKDAYS.INTL($C$6,H6,1,Holidays!$B$1:$B$10)/5)</f>
        <v>1</v>
      </c>
      <c r="J16" s="137">
        <f>INT(NETWORKDAYS.INTL($C$6,I6,1,Holidays!$B$1:$B$10)/5)</f>
        <v>1</v>
      </c>
      <c r="K16" s="137">
        <f>INT(NETWORKDAYS.INTL($C$6,J6,1,Holidays!$B$1:$B$10)/5)</f>
        <v>1</v>
      </c>
      <c r="L16" s="137">
        <f>INT(NETWORKDAYS.INTL($C$6,K6,1,Holidays!$B$1:$B$10)/5)</f>
        <v>1</v>
      </c>
      <c r="M16" s="137">
        <f>INT(NETWORKDAYS.INTL($C$6,L6,1,Holidays!$B$1:$B$10)/5)</f>
        <v>2</v>
      </c>
      <c r="N16" s="137">
        <f>INT(NETWORKDAYS.INTL($C$6,M6,1,Holidays!$B$1:$B$10)/5)</f>
        <v>2</v>
      </c>
      <c r="O16" s="137">
        <f>INT(NETWORKDAYS.INTL($C$6,N6,1,Holidays!$B$1:$B$10)/5)</f>
        <v>2</v>
      </c>
      <c r="P16" s="137">
        <f>INT(NETWORKDAYS.INTL($C$6,O6,1,Holidays!$B$1:$B$10)/5)</f>
        <v>2</v>
      </c>
      <c r="Q16" s="137">
        <f>INT(NETWORKDAYS.INTL($C$6,P6,1,Holidays!$B$1:$B$10)/5)</f>
        <v>2</v>
      </c>
      <c r="R16" s="137">
        <f>INT(NETWORKDAYS.INTL($C$6,Q6,1,Holidays!$B$1:$B$10)/5)</f>
        <v>3</v>
      </c>
      <c r="S16" s="137">
        <f>INT(NETWORKDAYS.INTL($C$6,R6,1,Holidays!$B$1:$B$10)/5)</f>
        <v>3</v>
      </c>
      <c r="T16" s="137">
        <f>INT(NETWORKDAYS.INTL($C$6,S6,1,Holidays!$B$1:$B$10)/5)</f>
        <v>3</v>
      </c>
      <c r="U16" s="137">
        <f>INT(NETWORKDAYS.INTL($C$6,T6,1,Holidays!$B$1:$B$10)/5)</f>
        <v>3</v>
      </c>
      <c r="V16" s="137">
        <f>INT(NETWORKDAYS.INTL($C$6,U6,1,Holidays!$B$1:$B$10)/5)</f>
        <v>3</v>
      </c>
      <c r="W16" s="137">
        <f>INT(NETWORKDAYS.INTL($C$6,V6,1,Holidays!$B$1:$B$10)/5)</f>
        <v>4</v>
      </c>
      <c r="X16" s="137">
        <f>INT(NETWORKDAYS.INTL($C$6,W6,1,Holidays!$B$1:$B$10)/5)</f>
        <v>4</v>
      </c>
      <c r="Y16" s="137">
        <f>INT(NETWORKDAYS.INTL($C$6,X6,1,Holidays!$B$1:$B$10)/5)</f>
        <v>4</v>
      </c>
      <c r="Z16" s="137">
        <f>INT(NETWORKDAYS.INTL($C$6,Y6,1,Holidays!$B$1:$B$10)/5)</f>
        <v>4</v>
      </c>
      <c r="AA16" s="137">
        <f>INT(NETWORKDAYS.INTL($C$6,Z6,1,Holidays!$B$1:$B$10)/5)</f>
        <v>4</v>
      </c>
      <c r="AB16" s="137">
        <f>INT(NETWORKDAYS.INTL($C$6,AA6,1,Holidays!$B$1:$B$10)/5)</f>
        <v>5</v>
      </c>
      <c r="AC16" s="137">
        <f>INT(NETWORKDAYS.INTL($C$6,AB6,1,Holidays!$B$1:$B$10)/5)</f>
        <v>5</v>
      </c>
      <c r="AD16" s="137">
        <f>INT(NETWORKDAYS.INTL($C$6,AC6,1,Holidays!$B$1:$B$10)/5)</f>
        <v>5</v>
      </c>
      <c r="AE16" s="137">
        <f>INT(NETWORKDAYS.INTL($C$6,AD6,1,Holidays!$B$1:$B$10)/5)</f>
        <v>5</v>
      </c>
      <c r="AF16" s="137">
        <f>INT(NETWORKDAYS.INTL($C$6,AE6,1,Holidays!$B$1:$B$10)/5)</f>
        <v>5</v>
      </c>
      <c r="AG16" s="137">
        <f>INT(NETWORKDAYS.INTL($C$6,AF6,1,Holidays!$B$1:$B$10)/5)</f>
        <v>6</v>
      </c>
      <c r="AH16" s="137">
        <f>INT(NETWORKDAYS.INTL($C$6,AG6,1,Holidays!$B$1:$B$10)/5)</f>
        <v>6</v>
      </c>
      <c r="AI16" s="137">
        <f>INT(NETWORKDAYS.INTL($C$6,AH6,1,Holidays!$B$1:$B$10)/5)</f>
        <v>6</v>
      </c>
      <c r="AJ16" s="137">
        <f>INT(NETWORKDAYS.INTL($C$6,AI6,1,Holidays!$B$1:$B$10)/5)</f>
        <v>6</v>
      </c>
      <c r="AK16" s="137">
        <f>INT(NETWORKDAYS.INTL($C$6,AJ6,1,Holidays!$B$1:$B$10)/5)</f>
        <v>6</v>
      </c>
      <c r="AL16" s="137">
        <f>INT(NETWORKDAYS.INTL($C$6,AK6,1,Holidays!$B$1:$B$10)/5)</f>
        <v>7</v>
      </c>
      <c r="AM16" s="137">
        <f>INT(NETWORKDAYS.INTL($C$6,AL6,1,Holidays!$B$1:$B$10)/5)</f>
        <v>7</v>
      </c>
      <c r="AN16" s="137">
        <f>INT(NETWORKDAYS.INTL($C$6,AM6,1,Holidays!$B$1:$B$10)/5)</f>
        <v>7</v>
      </c>
      <c r="AO16" s="137">
        <f>INT(NETWORKDAYS.INTL($C$6,AN6,1,Holidays!$B$1:$B$10)/5)</f>
        <v>7</v>
      </c>
      <c r="AP16" s="137">
        <f>INT(NETWORKDAYS.INTL($C$6,AO6,1,Holidays!$B$1:$B$10)/5)</f>
        <v>7</v>
      </c>
      <c r="AQ16" s="137">
        <f>INT(NETWORKDAYS.INTL($C$6,AP6,1,Holidays!$B$1:$B$10)/5)</f>
        <v>8</v>
      </c>
      <c r="AR16" s="137">
        <f>INT(NETWORKDAYS.INTL($C$6,AQ6,1,Holidays!$B$1:$B$10)/5)</f>
        <v>8</v>
      </c>
      <c r="AS16" s="137">
        <f>INT(NETWORKDAYS.INTL($C$6,AR6,1,Holidays!$B$1:$B$10)/5)</f>
        <v>8</v>
      </c>
      <c r="AT16" s="137">
        <f>INT(NETWORKDAYS.INTL($C$6,AS6,1,Holidays!$B$1:$B$10)/5)</f>
        <v>8</v>
      </c>
      <c r="AU16" s="137">
        <f>INT(NETWORKDAYS.INTL($C$6,AT6,1,Holidays!$B$1:$B$10)/5)</f>
        <v>8</v>
      </c>
      <c r="AV16" s="137">
        <f>INT(NETWORKDAYS.INTL($C$6,AU6,1,Holidays!$B$1:$B$10)/5)</f>
        <v>9</v>
      </c>
      <c r="AW16" s="137">
        <f>INT(NETWORKDAYS.INTL($C$6,AV6,1,Holidays!$B$1:$B$10)/5)</f>
        <v>9</v>
      </c>
      <c r="AX16" s="137">
        <f>INT(NETWORKDAYS.INTL($C$6,AW6,1,Holidays!$B$1:$B$10)/5)</f>
        <v>9</v>
      </c>
      <c r="AY16" s="137">
        <f>INT(NETWORKDAYS.INTL($C$6,AX6,1,Holidays!$B$1:$B$10)/5)</f>
        <v>9</v>
      </c>
      <c r="AZ16" s="137">
        <f>INT(NETWORKDAYS.INTL($C$6,AY6,1,Holidays!$B$1:$B$10)/5)</f>
        <v>9</v>
      </c>
      <c r="BA16" s="137">
        <f>INT(NETWORKDAYS.INTL($C$6,AZ6,1,Holidays!$B$1:$B$10)/5)</f>
        <v>10</v>
      </c>
      <c r="BB16" s="137">
        <f>INT(NETWORKDAYS.INTL($C$6,BA6,1,Holidays!$B$1:$B$10)/5)</f>
        <v>10</v>
      </c>
      <c r="BC16" s="137">
        <f>INT(NETWORKDAYS.INTL($C$6,BB6,1,Holidays!$B$1:$B$10)/5)</f>
        <v>10</v>
      </c>
      <c r="BD16" s="137">
        <f>INT(NETWORKDAYS.INTL($C$6,BC6,1,Holidays!$B$1:$B$10)/5)</f>
        <v>10</v>
      </c>
      <c r="BE16" s="137">
        <f>INT(NETWORKDAYS.INTL($C$6,BD6,1,Holidays!$B$1:$B$10)/5)</f>
        <v>10</v>
      </c>
      <c r="BF16" s="137">
        <f>INT(NETWORKDAYS.INTL($C$6,BE6,1,Holidays!$B$1:$B$10)/5)</f>
        <v>11</v>
      </c>
      <c r="BG16" s="137">
        <f>INT(NETWORKDAYS.INTL($C$6,BF6,1,Holidays!$B$1:$B$10)/5)</f>
        <v>11</v>
      </c>
      <c r="BH16" s="137">
        <f>INT(NETWORKDAYS.INTL($C$6,BG6,1,Holidays!$B$1:$B$10)/5)</f>
        <v>11</v>
      </c>
      <c r="BI16" s="137">
        <f>INT(NETWORKDAYS.INTL($C$6,BH6,1,Holidays!$B$1:$B$10)/5)</f>
        <v>11</v>
      </c>
      <c r="BJ16" s="137">
        <f>INT(NETWORKDAYS.INTL($C$6,BI6,1,Holidays!$B$1:$B$10)/5)</f>
        <v>11</v>
      </c>
      <c r="BK16" s="137">
        <f>INT(NETWORKDAYS.INTL($C$6,BJ6,1,Holidays!$B$1:$B$10)/5)</f>
        <v>12</v>
      </c>
      <c r="BL16" s="137">
        <f>INT(NETWORKDAYS.INTL($C$6,BK6,1,Holidays!$B$1:$B$10)/5)</f>
        <v>12</v>
      </c>
      <c r="BM16" s="137">
        <f>INT(NETWORKDAYS.INTL($C$6,BL6,1,Holidays!$B$1:$B$10)/5)</f>
        <v>12</v>
      </c>
      <c r="BN16" s="137">
        <f>INT(NETWORKDAYS.INTL($C$6,BM6,1,Holidays!$B$1:$B$10)/5)</f>
        <v>12</v>
      </c>
      <c r="BO16" s="137">
        <f>INT(NETWORKDAYS.INTL($C$6,BN6,1,Holidays!$B$1:$B$10)/5)</f>
        <v>12</v>
      </c>
      <c r="BP16" s="137">
        <f>INT(NETWORKDAYS.INTL($C$6,BO6,1,Holidays!$B$1:$B$10)/5)</f>
        <v>13</v>
      </c>
      <c r="BQ16" s="137">
        <f>INT(NETWORKDAYS.INTL($C$6,BP6,1,Holidays!$B$1:$B$10)/5)</f>
        <v>13</v>
      </c>
      <c r="BR16" s="137">
        <f>INT(NETWORKDAYS.INTL($C$6,BQ6,1,Holidays!$B$1:$B$10)/5)</f>
        <v>13</v>
      </c>
      <c r="BS16" s="137">
        <f>INT(NETWORKDAYS.INTL($C$6,BR6,1,Holidays!$B$1:$B$10)/5)</f>
        <v>13</v>
      </c>
      <c r="BT16" s="137">
        <f>INT(NETWORKDAYS.INTL($C$6,BS6,1,Holidays!$B$1:$B$10)/5)</f>
        <v>13</v>
      </c>
      <c r="BU16" s="137">
        <f>INT(NETWORKDAYS.INTL($C$6,BT6,1,Holidays!$B$1:$B$10)/5)</f>
        <v>14</v>
      </c>
      <c r="BV16" s="137">
        <f>INT(NETWORKDAYS.INTL($C$6,BU6,1,Holidays!$B$1:$B$10)/5)</f>
        <v>14</v>
      </c>
      <c r="BW16" s="137">
        <f>INT(NETWORKDAYS.INTL($C$6,BV6,1,Holidays!$B$1:$B$10)/5)</f>
        <v>14</v>
      </c>
      <c r="BX16" s="137">
        <f>INT(NETWORKDAYS.INTL($C$6,BW6,1,Holidays!$B$1:$B$10)/5)</f>
        <v>14</v>
      </c>
      <c r="BY16" s="137">
        <f>INT(NETWORKDAYS.INTL($C$6,BX6,1,Holidays!$B$1:$B$10)/5)</f>
        <v>14</v>
      </c>
      <c r="BZ16" s="137">
        <f>INT(NETWORKDAYS.INTL($C$6,BY6,1,Holidays!$B$1:$B$10)/5)</f>
        <v>15</v>
      </c>
      <c r="CA16" s="137">
        <f>INT(NETWORKDAYS.INTL($C$6,BZ6,1,Holidays!$B$1:$B$10)/5)</f>
        <v>15</v>
      </c>
      <c r="CB16" s="137">
        <f>INT(NETWORKDAYS.INTL($C$6,CA6,1,Holidays!$B$1:$B$10)/5)</f>
        <v>15</v>
      </c>
      <c r="CC16" s="137">
        <f>INT(NETWORKDAYS.INTL($C$6,CB6,1,Holidays!$B$1:$B$10)/5)</f>
        <v>15</v>
      </c>
      <c r="CD16" s="137">
        <f>INT(NETWORKDAYS.INTL($C$6,CC6,1,Holidays!$B$1:$B$10)/5)</f>
        <v>15</v>
      </c>
      <c r="CE16" s="137">
        <f>INT(NETWORKDAYS.INTL($C$6,CD6,1,Holidays!$B$1:$B$10)/5)</f>
        <v>16</v>
      </c>
      <c r="CF16" s="137">
        <f>INT(NETWORKDAYS.INTL($C$6,CE6,1,Holidays!$B$1:$B$10)/5)</f>
        <v>16</v>
      </c>
      <c r="CG16" s="137">
        <f>INT(NETWORKDAYS.INTL($C$6,CF6,1,Holidays!$B$1:$B$10)/5)</f>
        <v>16</v>
      </c>
      <c r="CH16" s="137">
        <f>INT(NETWORKDAYS.INTL($C$6,CG6,1,Holidays!$B$1:$B$10)/5)</f>
        <v>16</v>
      </c>
      <c r="CI16" s="137">
        <f>INT(NETWORKDAYS.INTL($C$6,CH6,1,Holidays!$B$1:$B$10)/5)</f>
        <v>16</v>
      </c>
      <c r="CJ16" s="137">
        <f>INT(NETWORKDAYS.INTL($C$6,CI6,1,Holidays!$B$1:$B$10)/5)</f>
        <v>17</v>
      </c>
      <c r="CK16" s="137">
        <f>INT(NETWORKDAYS.INTL($C$6,CJ6,1,Holidays!$B$1:$B$10)/5)</f>
        <v>17</v>
      </c>
      <c r="CL16" s="137">
        <f>INT(NETWORKDAYS.INTL($C$6,CK6,1,Holidays!$B$1:$B$10)/5)</f>
        <v>17</v>
      </c>
      <c r="CM16" s="137">
        <f>INT(NETWORKDAYS.INTL($C$6,CL6,1,Holidays!$B$1:$B$10)/5)</f>
        <v>17</v>
      </c>
      <c r="CN16" s="137">
        <f>INT(NETWORKDAYS.INTL($C$6,CM6,1,Holidays!$B$1:$B$10)/5)</f>
        <v>17</v>
      </c>
      <c r="CO16" s="137">
        <f>INT(NETWORKDAYS.INTL($C$6,CN6,1,Holidays!$B$1:$B$10)/5)</f>
        <v>18</v>
      </c>
      <c r="CP16" s="137">
        <f>INT(NETWORKDAYS.INTL($C$6,CO6,1,Holidays!$B$1:$B$10)/5)</f>
        <v>18</v>
      </c>
      <c r="CQ16" s="137">
        <f>INT(NETWORKDAYS.INTL($C$6,CP6,1,Holidays!$B$1:$B$10)/5)</f>
        <v>18</v>
      </c>
      <c r="CR16" s="137">
        <f>INT(NETWORKDAYS.INTL($C$6,CQ6,1,Holidays!$B$1:$B$10)/5)</f>
        <v>18</v>
      </c>
      <c r="CS16" s="137">
        <f>INT(NETWORKDAYS.INTL($C$6,CR6,1,Holidays!$B$1:$B$10)/5)</f>
        <v>18</v>
      </c>
      <c r="CT16" s="137">
        <f>INT(NETWORKDAYS.INTL($C$6,CS6,1,Holidays!$B$1:$B$10)/5)</f>
        <v>19</v>
      </c>
      <c r="CU16" s="137">
        <f>INT(NETWORKDAYS.INTL($C$6,CT6,1,Holidays!$B$1:$B$10)/5)</f>
        <v>19</v>
      </c>
      <c r="CV16" s="137">
        <f>INT(NETWORKDAYS.INTL($C$6,CU6,1,Holidays!$B$1:$B$10)/5)</f>
        <v>19</v>
      </c>
      <c r="CW16" s="137">
        <f>INT(NETWORKDAYS.INTL($C$6,CV6,1,Holidays!$B$1:$B$10)/5)</f>
        <v>19</v>
      </c>
      <c r="CX16" s="137">
        <f>INT(NETWORKDAYS.INTL($C$6,CW6,1,Holidays!$B$1:$B$10)/5)</f>
        <v>19</v>
      </c>
      <c r="CY16" s="137">
        <f>INT(NETWORKDAYS.INTL($C$6,CX6,1,Holidays!$B$1:$B$10)/5)</f>
        <v>20</v>
      </c>
      <c r="CZ16" s="137">
        <f>INT(NETWORKDAYS.INTL($C$6,CY6,1,Holidays!$B$1:$B$10)/5)</f>
        <v>20</v>
      </c>
      <c r="DA16" s="137">
        <f>INT(NETWORKDAYS.INTL($C$6,CZ6,1,Holidays!$B$1:$B$10)/5)</f>
        <v>20</v>
      </c>
      <c r="DB16" s="137">
        <f>INT(NETWORKDAYS.INTL($C$6,DA6,1,Holidays!$B$1:$B$10)/5)</f>
        <v>20</v>
      </c>
      <c r="DC16" s="137">
        <f>INT(NETWORKDAYS.INTL($C$6,DB6,1,Holidays!$B$1:$B$10)/5)</f>
        <v>20</v>
      </c>
      <c r="DD16" s="137">
        <f>INT(NETWORKDAYS.INTL($C$6,DC6,1,Holidays!$B$1:$B$10)/5)</f>
        <v>21</v>
      </c>
      <c r="DE16" s="137">
        <f>INT(NETWORKDAYS.INTL($C$6,DD6,1,Holidays!$B$1:$B$10)/5)</f>
        <v>21</v>
      </c>
      <c r="DF16" s="137">
        <f>INT(NETWORKDAYS.INTL($C$6,DE6,1,Holidays!$B$1:$B$10)/5)</f>
        <v>21</v>
      </c>
      <c r="DG16" s="137">
        <f>INT(NETWORKDAYS.INTL($C$6,DF6,1,Holidays!$B$1:$B$10)/5)</f>
        <v>21</v>
      </c>
      <c r="DH16" s="137">
        <f>INT(NETWORKDAYS.INTL($C$6,DG6,1,Holidays!$B$1:$B$10)/5)</f>
        <v>21</v>
      </c>
      <c r="DI16" s="137">
        <f>INT(NETWORKDAYS.INTL($C$6,DH6,1,Holidays!$B$1:$B$10)/5)</f>
        <v>22</v>
      </c>
      <c r="DJ16" s="137">
        <f>INT(NETWORKDAYS.INTL($C$6,DI6,1,Holidays!$B$1:$B$10)/5)</f>
        <v>22</v>
      </c>
      <c r="DK16" s="137">
        <f>INT(NETWORKDAYS.INTL($C$6,DJ6,1,Holidays!$B$1:$B$10)/5)</f>
        <v>22</v>
      </c>
      <c r="DL16" s="137">
        <f>INT(NETWORKDAYS.INTL($C$6,DK6,1,Holidays!$B$1:$B$10)/5)</f>
        <v>22</v>
      </c>
      <c r="DM16" s="137">
        <f>INT(NETWORKDAYS.INTL($C$6,DL6,1,Holidays!$B$1:$B$10)/5)</f>
        <v>22</v>
      </c>
      <c r="DN16" s="137">
        <f>INT(NETWORKDAYS.INTL($C$6,DM6,1,Holidays!$B$1:$B$10)/5)</f>
        <v>23</v>
      </c>
      <c r="DO16" s="137">
        <f>INT(NETWORKDAYS.INTL($C$6,DN6,1,Holidays!$B$1:$B$10)/5)</f>
        <v>23</v>
      </c>
      <c r="DP16" s="137">
        <f>INT(NETWORKDAYS.INTL($C$6,DO6,1,Holidays!$B$1:$B$10)/5)</f>
        <v>23</v>
      </c>
      <c r="DQ16" s="137">
        <f>INT(NETWORKDAYS.INTL($C$6,DP6,1,Holidays!$B$1:$B$10)/5)</f>
        <v>23</v>
      </c>
      <c r="DR16" s="137">
        <f>INT(NETWORKDAYS.INTL($C$6,DQ6,1,Holidays!$B$1:$B$10)/5)</f>
        <v>23</v>
      </c>
      <c r="DS16" s="137">
        <f>INT(NETWORKDAYS.INTL($C$6,DR6,1,Holidays!$B$1:$B$10)/5)</f>
        <v>24</v>
      </c>
      <c r="DT16" s="137">
        <f>INT(NETWORKDAYS.INTL($C$6,DS6,1,Holidays!$B$1:$B$10)/5)</f>
        <v>24</v>
      </c>
      <c r="DU16" s="137">
        <f>INT(NETWORKDAYS.INTL($C$6,DT6,1,Holidays!$B$1:$B$10)/5)</f>
        <v>24</v>
      </c>
      <c r="DV16" s="137">
        <f>INT(NETWORKDAYS.INTL($C$6,DU6,1,Holidays!$B$1:$B$10)/5)</f>
        <v>24</v>
      </c>
      <c r="DW16" s="137">
        <f>INT(NETWORKDAYS.INTL($C$6,DV6,1,Holidays!$B$1:$B$10)/5)</f>
        <v>24</v>
      </c>
      <c r="DX16" s="137">
        <f>INT(NETWORKDAYS.INTL($C$6,DW6,1,Holidays!$B$1:$B$10)/5)</f>
        <v>25</v>
      </c>
    </row>
    <row r="17" spans="1:132" hidden="1" x14ac:dyDescent="0.3">
      <c r="A17" s="170"/>
      <c r="B17" s="170"/>
      <c r="C17" s="172">
        <f>C16/MAX($C$16:$DX$16)</f>
        <v>0</v>
      </c>
      <c r="D17" s="172">
        <f>D16/MAX($C$16:$DX$16)</f>
        <v>0</v>
      </c>
      <c r="E17" s="172">
        <f>E16/MAX($C$16:$DX$16)</f>
        <v>0</v>
      </c>
      <c r="F17" s="172">
        <f>F16/MAX($C$16:$DX$16)</f>
        <v>0</v>
      </c>
      <c r="G17" s="172"/>
      <c r="H17" s="172">
        <f t="shared" ref="H17:AM17" si="0">H16/MAX($C$16:$DX$16)</f>
        <v>0.04</v>
      </c>
      <c r="I17" s="172">
        <f t="shared" si="0"/>
        <v>0.04</v>
      </c>
      <c r="J17" s="172">
        <f t="shared" si="0"/>
        <v>0.04</v>
      </c>
      <c r="K17" s="172">
        <f t="shared" si="0"/>
        <v>0.04</v>
      </c>
      <c r="L17" s="172">
        <f t="shared" si="0"/>
        <v>0.04</v>
      </c>
      <c r="M17" s="172">
        <f t="shared" si="0"/>
        <v>0.08</v>
      </c>
      <c r="N17" s="172">
        <f t="shared" si="0"/>
        <v>0.08</v>
      </c>
      <c r="O17" s="172">
        <f t="shared" si="0"/>
        <v>0.08</v>
      </c>
      <c r="P17" s="172">
        <f t="shared" si="0"/>
        <v>0.08</v>
      </c>
      <c r="Q17" s="172">
        <f t="shared" si="0"/>
        <v>0.08</v>
      </c>
      <c r="R17" s="172">
        <f t="shared" si="0"/>
        <v>0.12</v>
      </c>
      <c r="S17" s="172">
        <f t="shared" si="0"/>
        <v>0.12</v>
      </c>
      <c r="T17" s="172">
        <f t="shared" si="0"/>
        <v>0.12</v>
      </c>
      <c r="U17" s="172">
        <f t="shared" si="0"/>
        <v>0.12</v>
      </c>
      <c r="V17" s="172">
        <f t="shared" si="0"/>
        <v>0.12</v>
      </c>
      <c r="W17" s="172">
        <f t="shared" si="0"/>
        <v>0.16</v>
      </c>
      <c r="X17" s="172">
        <f t="shared" si="0"/>
        <v>0.16</v>
      </c>
      <c r="Y17" s="172">
        <f t="shared" si="0"/>
        <v>0.16</v>
      </c>
      <c r="Z17" s="172">
        <f t="shared" si="0"/>
        <v>0.16</v>
      </c>
      <c r="AA17" s="172">
        <f t="shared" si="0"/>
        <v>0.16</v>
      </c>
      <c r="AB17" s="172">
        <f t="shared" si="0"/>
        <v>0.2</v>
      </c>
      <c r="AC17" s="172">
        <f t="shared" si="0"/>
        <v>0.2</v>
      </c>
      <c r="AD17" s="172">
        <f t="shared" si="0"/>
        <v>0.2</v>
      </c>
      <c r="AE17" s="172">
        <f t="shared" si="0"/>
        <v>0.2</v>
      </c>
      <c r="AF17" s="172">
        <f t="shared" si="0"/>
        <v>0.2</v>
      </c>
      <c r="AG17" s="172">
        <f t="shared" si="0"/>
        <v>0.24</v>
      </c>
      <c r="AH17" s="172">
        <f t="shared" si="0"/>
        <v>0.24</v>
      </c>
      <c r="AI17" s="172">
        <f t="shared" si="0"/>
        <v>0.24</v>
      </c>
      <c r="AJ17" s="172">
        <f t="shared" si="0"/>
        <v>0.24</v>
      </c>
      <c r="AK17" s="172">
        <f t="shared" si="0"/>
        <v>0.24</v>
      </c>
      <c r="AL17" s="172">
        <f t="shared" si="0"/>
        <v>0.28000000000000003</v>
      </c>
      <c r="AM17" s="172">
        <f t="shared" si="0"/>
        <v>0.28000000000000003</v>
      </c>
      <c r="AN17" s="172">
        <f t="shared" ref="AN17:BS17" si="1">AN16/MAX($C$16:$DX$16)</f>
        <v>0.28000000000000003</v>
      </c>
      <c r="AO17" s="172">
        <f t="shared" si="1"/>
        <v>0.28000000000000003</v>
      </c>
      <c r="AP17" s="172">
        <f t="shared" si="1"/>
        <v>0.28000000000000003</v>
      </c>
      <c r="AQ17" s="172">
        <f t="shared" si="1"/>
        <v>0.32</v>
      </c>
      <c r="AR17" s="172">
        <f t="shared" si="1"/>
        <v>0.32</v>
      </c>
      <c r="AS17" s="172">
        <f t="shared" si="1"/>
        <v>0.32</v>
      </c>
      <c r="AT17" s="172">
        <f t="shared" si="1"/>
        <v>0.32</v>
      </c>
      <c r="AU17" s="172">
        <f t="shared" si="1"/>
        <v>0.32</v>
      </c>
      <c r="AV17" s="172">
        <f t="shared" si="1"/>
        <v>0.36</v>
      </c>
      <c r="AW17" s="172">
        <f t="shared" si="1"/>
        <v>0.36</v>
      </c>
      <c r="AX17" s="172">
        <f t="shared" si="1"/>
        <v>0.36</v>
      </c>
      <c r="AY17" s="172">
        <f t="shared" si="1"/>
        <v>0.36</v>
      </c>
      <c r="AZ17" s="172">
        <f t="shared" si="1"/>
        <v>0.36</v>
      </c>
      <c r="BA17" s="172">
        <f t="shared" si="1"/>
        <v>0.4</v>
      </c>
      <c r="BB17" s="172">
        <f t="shared" si="1"/>
        <v>0.4</v>
      </c>
      <c r="BC17" s="172">
        <f t="shared" si="1"/>
        <v>0.4</v>
      </c>
      <c r="BD17" s="172">
        <f t="shared" si="1"/>
        <v>0.4</v>
      </c>
      <c r="BE17" s="172">
        <f t="shared" si="1"/>
        <v>0.4</v>
      </c>
      <c r="BF17" s="172">
        <f t="shared" si="1"/>
        <v>0.44</v>
      </c>
      <c r="BG17" s="172">
        <f t="shared" si="1"/>
        <v>0.44</v>
      </c>
      <c r="BH17" s="172">
        <f t="shared" si="1"/>
        <v>0.44</v>
      </c>
      <c r="BI17" s="172">
        <f t="shared" si="1"/>
        <v>0.44</v>
      </c>
      <c r="BJ17" s="172">
        <f t="shared" si="1"/>
        <v>0.44</v>
      </c>
      <c r="BK17" s="172">
        <f t="shared" si="1"/>
        <v>0.48</v>
      </c>
      <c r="BL17" s="172">
        <f t="shared" si="1"/>
        <v>0.48</v>
      </c>
      <c r="BM17" s="172">
        <f t="shared" si="1"/>
        <v>0.48</v>
      </c>
      <c r="BN17" s="172">
        <f t="shared" si="1"/>
        <v>0.48</v>
      </c>
      <c r="BO17" s="172">
        <f t="shared" si="1"/>
        <v>0.48</v>
      </c>
      <c r="BP17" s="172">
        <f t="shared" si="1"/>
        <v>0.52</v>
      </c>
      <c r="BQ17" s="172">
        <f t="shared" si="1"/>
        <v>0.52</v>
      </c>
      <c r="BR17" s="172">
        <f t="shared" si="1"/>
        <v>0.52</v>
      </c>
      <c r="BS17" s="172">
        <f t="shared" si="1"/>
        <v>0.52</v>
      </c>
      <c r="BT17" s="172">
        <f t="shared" ref="BT17:CY17" si="2">BT16/MAX($C$16:$DX$16)</f>
        <v>0.52</v>
      </c>
      <c r="BU17" s="172">
        <f t="shared" si="2"/>
        <v>0.56000000000000005</v>
      </c>
      <c r="BV17" s="172">
        <f t="shared" si="2"/>
        <v>0.56000000000000005</v>
      </c>
      <c r="BW17" s="172">
        <f t="shared" si="2"/>
        <v>0.56000000000000005</v>
      </c>
      <c r="BX17" s="172">
        <f t="shared" si="2"/>
        <v>0.56000000000000005</v>
      </c>
      <c r="BY17" s="172">
        <f t="shared" si="2"/>
        <v>0.56000000000000005</v>
      </c>
      <c r="BZ17" s="172">
        <f t="shared" si="2"/>
        <v>0.6</v>
      </c>
      <c r="CA17" s="172">
        <f t="shared" si="2"/>
        <v>0.6</v>
      </c>
      <c r="CB17" s="172">
        <f t="shared" si="2"/>
        <v>0.6</v>
      </c>
      <c r="CC17" s="172">
        <f t="shared" si="2"/>
        <v>0.6</v>
      </c>
      <c r="CD17" s="172">
        <f t="shared" si="2"/>
        <v>0.6</v>
      </c>
      <c r="CE17" s="172">
        <f t="shared" si="2"/>
        <v>0.64</v>
      </c>
      <c r="CF17" s="172">
        <f t="shared" si="2"/>
        <v>0.64</v>
      </c>
      <c r="CG17" s="172">
        <f t="shared" si="2"/>
        <v>0.64</v>
      </c>
      <c r="CH17" s="172">
        <f t="shared" si="2"/>
        <v>0.64</v>
      </c>
      <c r="CI17" s="172">
        <f t="shared" si="2"/>
        <v>0.64</v>
      </c>
      <c r="CJ17" s="172">
        <f t="shared" si="2"/>
        <v>0.68</v>
      </c>
      <c r="CK17" s="172">
        <f t="shared" si="2"/>
        <v>0.68</v>
      </c>
      <c r="CL17" s="172">
        <f t="shared" si="2"/>
        <v>0.68</v>
      </c>
      <c r="CM17" s="172">
        <f t="shared" si="2"/>
        <v>0.68</v>
      </c>
      <c r="CN17" s="172">
        <f t="shared" si="2"/>
        <v>0.68</v>
      </c>
      <c r="CO17" s="172">
        <f t="shared" si="2"/>
        <v>0.72</v>
      </c>
      <c r="CP17" s="172">
        <f t="shared" si="2"/>
        <v>0.72</v>
      </c>
      <c r="CQ17" s="172">
        <f t="shared" si="2"/>
        <v>0.72</v>
      </c>
      <c r="CR17" s="172">
        <f t="shared" si="2"/>
        <v>0.72</v>
      </c>
      <c r="CS17" s="172">
        <f t="shared" si="2"/>
        <v>0.72</v>
      </c>
      <c r="CT17" s="172">
        <f t="shared" si="2"/>
        <v>0.76</v>
      </c>
      <c r="CU17" s="172">
        <f t="shared" si="2"/>
        <v>0.76</v>
      </c>
      <c r="CV17" s="172">
        <f t="shared" si="2"/>
        <v>0.76</v>
      </c>
      <c r="CW17" s="172">
        <f t="shared" si="2"/>
        <v>0.76</v>
      </c>
      <c r="CX17" s="172">
        <f t="shared" si="2"/>
        <v>0.76</v>
      </c>
      <c r="CY17" s="172">
        <f t="shared" si="2"/>
        <v>0.8</v>
      </c>
      <c r="CZ17" s="172">
        <f t="shared" ref="CZ17:DX17" si="3">CZ16/MAX($C$16:$DX$16)</f>
        <v>0.8</v>
      </c>
      <c r="DA17" s="172">
        <f t="shared" si="3"/>
        <v>0.8</v>
      </c>
      <c r="DB17" s="172">
        <f t="shared" si="3"/>
        <v>0.8</v>
      </c>
      <c r="DC17" s="172">
        <f t="shared" si="3"/>
        <v>0.8</v>
      </c>
      <c r="DD17" s="172">
        <f t="shared" si="3"/>
        <v>0.84</v>
      </c>
      <c r="DE17" s="172">
        <f t="shared" si="3"/>
        <v>0.84</v>
      </c>
      <c r="DF17" s="172">
        <f t="shared" si="3"/>
        <v>0.84</v>
      </c>
      <c r="DG17" s="172">
        <f t="shared" si="3"/>
        <v>0.84</v>
      </c>
      <c r="DH17" s="172">
        <f t="shared" si="3"/>
        <v>0.84</v>
      </c>
      <c r="DI17" s="172">
        <f t="shared" si="3"/>
        <v>0.88</v>
      </c>
      <c r="DJ17" s="172">
        <f t="shared" si="3"/>
        <v>0.88</v>
      </c>
      <c r="DK17" s="172">
        <f t="shared" si="3"/>
        <v>0.88</v>
      </c>
      <c r="DL17" s="172">
        <f t="shared" si="3"/>
        <v>0.88</v>
      </c>
      <c r="DM17" s="172">
        <f t="shared" si="3"/>
        <v>0.88</v>
      </c>
      <c r="DN17" s="172">
        <f t="shared" si="3"/>
        <v>0.92</v>
      </c>
      <c r="DO17" s="172">
        <f t="shared" si="3"/>
        <v>0.92</v>
      </c>
      <c r="DP17" s="172">
        <f t="shared" si="3"/>
        <v>0.92</v>
      </c>
      <c r="DQ17" s="172">
        <f t="shared" si="3"/>
        <v>0.92</v>
      </c>
      <c r="DR17" s="172">
        <f t="shared" si="3"/>
        <v>0.92</v>
      </c>
      <c r="DS17" s="172">
        <f t="shared" si="3"/>
        <v>0.96</v>
      </c>
      <c r="DT17" s="172">
        <f t="shared" si="3"/>
        <v>0.96</v>
      </c>
      <c r="DU17" s="172">
        <f t="shared" si="3"/>
        <v>0.96</v>
      </c>
      <c r="DV17" s="172">
        <f t="shared" si="3"/>
        <v>0.96</v>
      </c>
      <c r="DW17" s="172">
        <f t="shared" si="3"/>
        <v>0.96</v>
      </c>
      <c r="DX17" s="172">
        <f t="shared" si="3"/>
        <v>1</v>
      </c>
    </row>
    <row r="18" spans="1:132" hidden="1" x14ac:dyDescent="0.3">
      <c r="A18" s="192" t="s">
        <v>383</v>
      </c>
      <c r="B18" s="193">
        <f>SUM(C18:EB18)</f>
        <v>480000000</v>
      </c>
      <c r="AC18" s="179">
        <v>96000000</v>
      </c>
      <c r="BA18" s="179">
        <v>96000000</v>
      </c>
      <c r="CM18" s="179">
        <v>96000000</v>
      </c>
      <c r="DI18" s="179">
        <v>96000000</v>
      </c>
      <c r="EB18" s="179">
        <v>96000000</v>
      </c>
    </row>
    <row r="19" spans="1:132" hidden="1" x14ac:dyDescent="0.3">
      <c r="A19" s="192" t="s">
        <v>381</v>
      </c>
      <c r="B19" s="193">
        <f>SUM(C19:DX19)</f>
        <v>480000000</v>
      </c>
      <c r="W19" s="179">
        <v>96000000</v>
      </c>
      <c r="AL19" s="179">
        <f>96000000/2</f>
        <v>48000000</v>
      </c>
      <c r="BP19" s="179">
        <v>96000000</v>
      </c>
      <c r="CE19" s="179">
        <f>96000000/2</f>
        <v>48000000</v>
      </c>
      <c r="DF19" s="137">
        <v>96000000</v>
      </c>
      <c r="DX19" s="137">
        <v>96000000</v>
      </c>
    </row>
    <row r="20" spans="1:132" x14ac:dyDescent="0.3">
      <c r="A20" s="170" t="s">
        <v>300</v>
      </c>
      <c r="B20" s="170"/>
      <c r="C20" s="137">
        <f>COUNTIF(C18:DX18,"&lt;&gt;0")</f>
        <v>126</v>
      </c>
    </row>
    <row r="21" spans="1:132" x14ac:dyDescent="0.3">
      <c r="A21" s="176" t="s">
        <v>328</v>
      </c>
      <c r="B21" s="176" t="s">
        <v>329</v>
      </c>
    </row>
    <row r="22" spans="1:132" outlineLevel="1" x14ac:dyDescent="0.3">
      <c r="A22" s="170" t="s">
        <v>284</v>
      </c>
      <c r="B22" s="178">
        <f>SUM(C22:DW22)</f>
        <v>19.299999999999997</v>
      </c>
      <c r="C22" s="137">
        <v>1</v>
      </c>
      <c r="D22" s="137">
        <v>1</v>
      </c>
      <c r="E22" s="137">
        <v>1</v>
      </c>
      <c r="F22" s="137">
        <v>1</v>
      </c>
      <c r="G22" s="137">
        <v>1</v>
      </c>
      <c r="H22" s="137">
        <v>1</v>
      </c>
      <c r="I22" s="137">
        <v>1</v>
      </c>
      <c r="J22" s="137">
        <v>1</v>
      </c>
      <c r="K22" s="137">
        <v>1</v>
      </c>
      <c r="L22" s="137">
        <v>1</v>
      </c>
      <c r="M22" s="137">
        <v>1</v>
      </c>
      <c r="N22" s="137">
        <v>1</v>
      </c>
      <c r="O22" s="137">
        <v>1</v>
      </c>
      <c r="P22" s="137">
        <v>0.9</v>
      </c>
      <c r="Q22" s="137">
        <v>0.9</v>
      </c>
      <c r="R22" s="137">
        <v>0.9</v>
      </c>
      <c r="S22" s="137">
        <v>0.9</v>
      </c>
      <c r="T22" s="137">
        <v>0.9</v>
      </c>
      <c r="U22" s="137">
        <v>0.9</v>
      </c>
      <c r="V22" s="137">
        <v>0.9</v>
      </c>
    </row>
    <row r="23" spans="1:132" outlineLevel="1" x14ac:dyDescent="0.3">
      <c r="A23" s="176" t="s">
        <v>321</v>
      </c>
      <c r="B23" s="178">
        <f t="shared" ref="B23:B30" si="4">SUM(C23:DW23)</f>
        <v>119</v>
      </c>
      <c r="I23" s="137">
        <v>1</v>
      </c>
      <c r="J23" s="137">
        <v>1</v>
      </c>
      <c r="K23" s="137">
        <v>1</v>
      </c>
      <c r="L23" s="137">
        <v>1</v>
      </c>
      <c r="M23" s="137">
        <v>1</v>
      </c>
      <c r="N23" s="137">
        <v>1</v>
      </c>
      <c r="O23" s="137">
        <v>1</v>
      </c>
      <c r="P23" s="137">
        <v>1</v>
      </c>
      <c r="Q23" s="137">
        <v>1</v>
      </c>
      <c r="R23" s="137">
        <v>1</v>
      </c>
      <c r="S23" s="137">
        <v>1</v>
      </c>
      <c r="T23" s="137">
        <v>1</v>
      </c>
      <c r="U23" s="137">
        <v>1</v>
      </c>
      <c r="V23" s="137">
        <v>1</v>
      </c>
      <c r="W23" s="137">
        <v>1</v>
      </c>
      <c r="X23" s="137">
        <v>1</v>
      </c>
      <c r="Y23" s="137">
        <v>1</v>
      </c>
      <c r="Z23" s="137">
        <v>1</v>
      </c>
      <c r="AA23" s="137">
        <v>1</v>
      </c>
      <c r="AB23" s="137">
        <v>1</v>
      </c>
      <c r="AC23" s="137">
        <v>1</v>
      </c>
      <c r="AD23" s="137">
        <v>1</v>
      </c>
      <c r="AE23" s="137">
        <v>1</v>
      </c>
      <c r="AF23" s="137">
        <v>1</v>
      </c>
      <c r="AG23" s="137">
        <v>1</v>
      </c>
      <c r="AH23" s="137">
        <v>1</v>
      </c>
      <c r="AI23" s="137">
        <v>1</v>
      </c>
      <c r="AJ23" s="137">
        <v>1</v>
      </c>
      <c r="AK23" s="137">
        <v>1</v>
      </c>
      <c r="AL23" s="137">
        <v>1</v>
      </c>
      <c r="AM23" s="137">
        <v>1</v>
      </c>
      <c r="AN23" s="137">
        <v>1</v>
      </c>
      <c r="AO23" s="137">
        <v>1</v>
      </c>
      <c r="AP23" s="137">
        <v>1</v>
      </c>
      <c r="AQ23" s="137">
        <v>1</v>
      </c>
      <c r="AR23" s="137">
        <v>1</v>
      </c>
      <c r="AS23" s="137">
        <v>1</v>
      </c>
      <c r="AT23" s="137">
        <v>1</v>
      </c>
      <c r="AU23" s="137">
        <v>1</v>
      </c>
      <c r="AV23" s="137">
        <v>1</v>
      </c>
      <c r="AW23" s="137">
        <v>1</v>
      </c>
      <c r="AX23" s="137">
        <v>1</v>
      </c>
      <c r="AY23" s="137">
        <v>1</v>
      </c>
      <c r="AZ23" s="137">
        <v>1</v>
      </c>
      <c r="BA23" s="137">
        <v>1</v>
      </c>
      <c r="BB23" s="137">
        <v>1</v>
      </c>
      <c r="BC23" s="137">
        <v>1</v>
      </c>
      <c r="BD23" s="137">
        <v>1</v>
      </c>
      <c r="BE23" s="137">
        <v>1</v>
      </c>
      <c r="BF23" s="137">
        <v>1</v>
      </c>
      <c r="BG23" s="137">
        <v>1</v>
      </c>
      <c r="BH23" s="137">
        <v>1</v>
      </c>
      <c r="BI23" s="137">
        <v>1</v>
      </c>
      <c r="BJ23" s="137">
        <v>1</v>
      </c>
      <c r="BK23" s="137">
        <v>1</v>
      </c>
      <c r="BL23" s="137">
        <v>1</v>
      </c>
      <c r="BM23" s="137">
        <v>1</v>
      </c>
      <c r="BN23" s="137">
        <v>1</v>
      </c>
      <c r="BO23" s="137">
        <v>1</v>
      </c>
      <c r="BP23" s="137">
        <v>1</v>
      </c>
      <c r="BQ23" s="137">
        <v>1</v>
      </c>
      <c r="BR23" s="137">
        <v>1</v>
      </c>
      <c r="BS23" s="137">
        <v>1</v>
      </c>
      <c r="BT23" s="137">
        <v>1</v>
      </c>
      <c r="BU23" s="137">
        <v>1</v>
      </c>
      <c r="BV23" s="137">
        <v>1</v>
      </c>
      <c r="BW23" s="137">
        <v>1</v>
      </c>
      <c r="BX23" s="137">
        <v>1</v>
      </c>
      <c r="BY23" s="137">
        <v>1</v>
      </c>
      <c r="BZ23" s="137">
        <v>1</v>
      </c>
      <c r="CA23" s="137">
        <v>1</v>
      </c>
      <c r="CB23" s="137">
        <v>1</v>
      </c>
      <c r="CC23" s="137">
        <v>1</v>
      </c>
      <c r="CD23" s="137">
        <v>1</v>
      </c>
      <c r="CE23" s="137">
        <v>1</v>
      </c>
      <c r="CF23" s="137">
        <v>1</v>
      </c>
      <c r="CG23" s="137">
        <v>1</v>
      </c>
      <c r="CH23" s="137">
        <v>1</v>
      </c>
      <c r="CI23" s="137">
        <v>1</v>
      </c>
      <c r="CJ23" s="137">
        <v>1</v>
      </c>
      <c r="CK23" s="137">
        <v>1</v>
      </c>
      <c r="CL23" s="137">
        <v>1</v>
      </c>
      <c r="CM23" s="137">
        <v>1</v>
      </c>
      <c r="CN23" s="137">
        <v>1</v>
      </c>
      <c r="CO23" s="137">
        <v>1</v>
      </c>
      <c r="CP23" s="137">
        <v>1</v>
      </c>
      <c r="CQ23" s="137">
        <v>1</v>
      </c>
      <c r="CR23" s="137">
        <v>1</v>
      </c>
      <c r="CS23" s="137">
        <v>1</v>
      </c>
      <c r="CT23" s="137">
        <v>1</v>
      </c>
      <c r="CU23" s="137">
        <v>1</v>
      </c>
      <c r="CV23" s="137">
        <v>1</v>
      </c>
      <c r="CW23" s="137">
        <v>1</v>
      </c>
      <c r="CX23" s="137">
        <v>1</v>
      </c>
      <c r="CY23" s="137">
        <v>1</v>
      </c>
      <c r="CZ23" s="137">
        <v>1</v>
      </c>
      <c r="DA23" s="137">
        <v>1</v>
      </c>
      <c r="DB23" s="137">
        <v>1</v>
      </c>
      <c r="DC23" s="137">
        <v>1</v>
      </c>
      <c r="DD23" s="137">
        <v>1</v>
      </c>
      <c r="DE23" s="137">
        <v>1</v>
      </c>
      <c r="DF23" s="137">
        <v>1</v>
      </c>
      <c r="DG23" s="137">
        <v>1</v>
      </c>
      <c r="DH23" s="137">
        <v>1</v>
      </c>
      <c r="DI23" s="137">
        <v>1</v>
      </c>
      <c r="DJ23" s="137">
        <v>1</v>
      </c>
      <c r="DK23" s="137">
        <v>1</v>
      </c>
      <c r="DL23" s="137">
        <v>1</v>
      </c>
      <c r="DM23" s="137">
        <v>1</v>
      </c>
      <c r="DN23" s="137">
        <v>1</v>
      </c>
      <c r="DO23" s="137">
        <v>1</v>
      </c>
      <c r="DP23" s="137">
        <v>1</v>
      </c>
      <c r="DQ23" s="137">
        <v>1</v>
      </c>
      <c r="DR23" s="137">
        <v>1</v>
      </c>
      <c r="DS23" s="137">
        <v>1</v>
      </c>
      <c r="DT23" s="137">
        <v>1</v>
      </c>
      <c r="DU23" s="137">
        <v>1</v>
      </c>
      <c r="DV23" s="137">
        <v>1</v>
      </c>
      <c r="DW23" s="137">
        <v>1</v>
      </c>
      <c r="DX23" s="137">
        <v>1</v>
      </c>
    </row>
    <row r="24" spans="1:132" outlineLevel="1" x14ac:dyDescent="0.3">
      <c r="A24" s="170" t="s">
        <v>301</v>
      </c>
      <c r="B24" s="178">
        <f t="shared" si="4"/>
        <v>125</v>
      </c>
      <c r="C24" s="137">
        <v>1</v>
      </c>
      <c r="D24" s="137">
        <v>1</v>
      </c>
      <c r="E24" s="137">
        <v>1</v>
      </c>
      <c r="F24" s="137">
        <v>1</v>
      </c>
      <c r="G24" s="137">
        <v>1</v>
      </c>
      <c r="H24" s="137">
        <v>1</v>
      </c>
      <c r="I24" s="137">
        <v>1</v>
      </c>
      <c r="J24" s="137">
        <v>1</v>
      </c>
      <c r="K24" s="137">
        <v>1</v>
      </c>
      <c r="L24" s="137">
        <v>1</v>
      </c>
      <c r="M24" s="137">
        <v>1</v>
      </c>
      <c r="N24" s="137">
        <v>1</v>
      </c>
      <c r="O24" s="137">
        <v>1</v>
      </c>
      <c r="P24" s="137">
        <v>1</v>
      </c>
      <c r="Q24" s="137">
        <v>1</v>
      </c>
      <c r="R24" s="137">
        <v>1</v>
      </c>
      <c r="S24" s="137">
        <v>1</v>
      </c>
      <c r="T24" s="137">
        <v>1</v>
      </c>
      <c r="U24" s="137">
        <v>1</v>
      </c>
      <c r="V24" s="137">
        <v>1</v>
      </c>
      <c r="W24" s="137">
        <v>1</v>
      </c>
      <c r="X24" s="137">
        <v>1</v>
      </c>
      <c r="Y24" s="137">
        <v>1</v>
      </c>
      <c r="Z24" s="137">
        <v>1</v>
      </c>
      <c r="AA24" s="137">
        <v>1</v>
      </c>
      <c r="AB24" s="137">
        <v>1</v>
      </c>
      <c r="AC24" s="137">
        <v>1</v>
      </c>
      <c r="AD24" s="137">
        <v>1</v>
      </c>
      <c r="AE24" s="137">
        <v>1</v>
      </c>
      <c r="AF24" s="137">
        <v>1</v>
      </c>
      <c r="AG24" s="137">
        <v>1</v>
      </c>
      <c r="AH24" s="137">
        <v>1</v>
      </c>
      <c r="AI24" s="137">
        <v>1</v>
      </c>
      <c r="AJ24" s="137">
        <v>1</v>
      </c>
      <c r="AK24" s="137">
        <v>1</v>
      </c>
      <c r="AL24" s="137">
        <v>1</v>
      </c>
      <c r="AM24" s="137">
        <v>1</v>
      </c>
      <c r="AN24" s="137">
        <v>1</v>
      </c>
      <c r="AO24" s="137">
        <v>1</v>
      </c>
      <c r="AP24" s="137">
        <v>1</v>
      </c>
      <c r="AQ24" s="137">
        <v>1</v>
      </c>
      <c r="AR24" s="137">
        <v>1</v>
      </c>
      <c r="AS24" s="137">
        <v>1</v>
      </c>
      <c r="AT24" s="137">
        <v>1</v>
      </c>
      <c r="AU24" s="137">
        <v>1</v>
      </c>
      <c r="AV24" s="137">
        <v>1</v>
      </c>
      <c r="AW24" s="137">
        <v>1</v>
      </c>
      <c r="AX24" s="137">
        <v>1</v>
      </c>
      <c r="AY24" s="137">
        <v>1</v>
      </c>
      <c r="AZ24" s="137">
        <v>1</v>
      </c>
      <c r="BA24" s="137">
        <v>1</v>
      </c>
      <c r="BB24" s="137">
        <v>1</v>
      </c>
      <c r="BC24" s="137">
        <v>1</v>
      </c>
      <c r="BD24" s="137">
        <v>1</v>
      </c>
      <c r="BE24" s="137">
        <v>1</v>
      </c>
      <c r="BF24" s="137">
        <v>1</v>
      </c>
      <c r="BG24" s="137">
        <v>1</v>
      </c>
      <c r="BH24" s="137">
        <v>1</v>
      </c>
      <c r="BI24" s="137">
        <v>1</v>
      </c>
      <c r="BJ24" s="137">
        <v>1</v>
      </c>
      <c r="BK24" s="137">
        <v>1</v>
      </c>
      <c r="BL24" s="137">
        <v>1</v>
      </c>
      <c r="BM24" s="137">
        <v>1</v>
      </c>
      <c r="BN24" s="137">
        <v>1</v>
      </c>
      <c r="BO24" s="137">
        <v>1</v>
      </c>
      <c r="BP24" s="137">
        <v>1</v>
      </c>
      <c r="BQ24" s="137">
        <v>1</v>
      </c>
      <c r="BR24" s="137">
        <v>1</v>
      </c>
      <c r="BS24" s="137">
        <v>1</v>
      </c>
      <c r="BT24" s="137">
        <v>1</v>
      </c>
      <c r="BU24" s="137">
        <v>1</v>
      </c>
      <c r="BV24" s="137">
        <v>1</v>
      </c>
      <c r="BW24" s="137">
        <v>1</v>
      </c>
      <c r="BX24" s="137">
        <v>1</v>
      </c>
      <c r="BY24" s="137">
        <v>1</v>
      </c>
      <c r="BZ24" s="137">
        <v>1</v>
      </c>
      <c r="CA24" s="137">
        <v>1</v>
      </c>
      <c r="CB24" s="137">
        <v>1</v>
      </c>
      <c r="CC24" s="137">
        <v>1</v>
      </c>
      <c r="CD24" s="137">
        <v>1</v>
      </c>
      <c r="CE24" s="137">
        <v>1</v>
      </c>
      <c r="CF24" s="137">
        <v>1</v>
      </c>
      <c r="CG24" s="137">
        <v>1</v>
      </c>
      <c r="CH24" s="137">
        <v>1</v>
      </c>
      <c r="CI24" s="137">
        <v>1</v>
      </c>
      <c r="CJ24" s="137">
        <v>1</v>
      </c>
      <c r="CK24" s="137">
        <v>1</v>
      </c>
      <c r="CL24" s="137">
        <v>1</v>
      </c>
      <c r="CM24" s="137">
        <v>1</v>
      </c>
      <c r="CN24" s="137">
        <v>1</v>
      </c>
      <c r="CO24" s="137">
        <v>1</v>
      </c>
      <c r="CP24" s="137">
        <v>1</v>
      </c>
      <c r="CQ24" s="137">
        <v>1</v>
      </c>
      <c r="CR24" s="137">
        <v>1</v>
      </c>
      <c r="CS24" s="137">
        <v>1</v>
      </c>
      <c r="CT24" s="137">
        <v>1</v>
      </c>
      <c r="CU24" s="137">
        <v>1</v>
      </c>
      <c r="CV24" s="137">
        <v>1</v>
      </c>
      <c r="CW24" s="137">
        <v>1</v>
      </c>
      <c r="CX24" s="137">
        <v>1</v>
      </c>
      <c r="CY24" s="137">
        <v>1</v>
      </c>
      <c r="CZ24" s="137">
        <v>1</v>
      </c>
      <c r="DA24" s="137">
        <v>1</v>
      </c>
      <c r="DB24" s="137">
        <v>1</v>
      </c>
      <c r="DC24" s="137">
        <v>1</v>
      </c>
      <c r="DD24" s="137">
        <v>1</v>
      </c>
      <c r="DE24" s="137">
        <v>1</v>
      </c>
      <c r="DF24" s="137">
        <v>1</v>
      </c>
      <c r="DG24" s="137">
        <v>1</v>
      </c>
      <c r="DH24" s="137">
        <v>1</v>
      </c>
      <c r="DI24" s="137">
        <v>1</v>
      </c>
      <c r="DJ24" s="137">
        <v>1</v>
      </c>
      <c r="DK24" s="137">
        <v>1</v>
      </c>
      <c r="DL24" s="137">
        <v>1</v>
      </c>
      <c r="DM24" s="137">
        <v>1</v>
      </c>
      <c r="DN24" s="137">
        <v>1</v>
      </c>
      <c r="DO24" s="137">
        <v>1</v>
      </c>
      <c r="DP24" s="137">
        <v>1</v>
      </c>
      <c r="DQ24" s="137">
        <v>1</v>
      </c>
      <c r="DR24" s="137">
        <v>1</v>
      </c>
      <c r="DS24" s="137">
        <v>1</v>
      </c>
      <c r="DT24" s="137">
        <v>1</v>
      </c>
      <c r="DU24" s="137">
        <v>1</v>
      </c>
      <c r="DV24" s="137">
        <v>1</v>
      </c>
      <c r="DW24" s="137">
        <v>1</v>
      </c>
      <c r="DX24" s="137">
        <v>1</v>
      </c>
    </row>
    <row r="25" spans="1:132" outlineLevel="1" x14ac:dyDescent="0.3">
      <c r="A25" s="192" t="s">
        <v>327</v>
      </c>
      <c r="B25" s="193">
        <f>SUM(H25:AB25)*313250</f>
        <v>6578250</v>
      </c>
      <c r="C25" s="137">
        <v>1</v>
      </c>
      <c r="D25" s="137">
        <v>1</v>
      </c>
      <c r="E25" s="137">
        <v>1</v>
      </c>
      <c r="F25" s="137">
        <v>1</v>
      </c>
      <c r="G25" s="137">
        <v>1</v>
      </c>
      <c r="H25" s="137">
        <v>1</v>
      </c>
      <c r="I25" s="137">
        <v>1</v>
      </c>
      <c r="J25" s="137">
        <v>1</v>
      </c>
      <c r="K25" s="137">
        <v>1</v>
      </c>
      <c r="L25" s="137">
        <v>1</v>
      </c>
      <c r="M25" s="137">
        <v>1</v>
      </c>
      <c r="N25" s="137">
        <v>1</v>
      </c>
      <c r="O25" s="137">
        <v>1</v>
      </c>
      <c r="P25" s="137">
        <v>1</v>
      </c>
      <c r="Q25" s="137">
        <v>1</v>
      </c>
      <c r="R25" s="137">
        <v>1</v>
      </c>
      <c r="S25" s="137">
        <v>1</v>
      </c>
      <c r="T25" s="137">
        <v>1</v>
      </c>
      <c r="U25" s="137">
        <v>1</v>
      </c>
      <c r="V25" s="137">
        <v>1</v>
      </c>
      <c r="W25" s="137">
        <v>1</v>
      </c>
      <c r="X25" s="137">
        <v>1</v>
      </c>
      <c r="Y25" s="137">
        <v>1</v>
      </c>
      <c r="Z25" s="137">
        <v>1</v>
      </c>
      <c r="AA25" s="137">
        <v>1</v>
      </c>
      <c r="AB25" s="137">
        <v>1</v>
      </c>
      <c r="AC25" s="137">
        <v>1</v>
      </c>
      <c r="AD25" s="137">
        <v>1</v>
      </c>
      <c r="AE25" s="137">
        <v>1</v>
      </c>
      <c r="AF25" s="137">
        <v>1</v>
      </c>
      <c r="AG25" s="137">
        <v>1</v>
      </c>
      <c r="AH25" s="137">
        <v>1</v>
      </c>
      <c r="AI25" s="137">
        <v>1</v>
      </c>
      <c r="AJ25" s="137">
        <v>1</v>
      </c>
      <c r="AK25" s="137">
        <v>1</v>
      </c>
      <c r="AL25" s="137">
        <v>1</v>
      </c>
      <c r="AM25" s="137">
        <v>1</v>
      </c>
      <c r="AN25" s="137">
        <v>1</v>
      </c>
      <c r="AO25" s="137">
        <v>1</v>
      </c>
      <c r="AP25" s="137">
        <v>1</v>
      </c>
      <c r="AQ25" s="137">
        <v>1</v>
      </c>
      <c r="AR25" s="137">
        <v>1</v>
      </c>
      <c r="AS25" s="137">
        <v>1</v>
      </c>
      <c r="AT25" s="137">
        <v>1</v>
      </c>
      <c r="AU25" s="137">
        <v>1</v>
      </c>
      <c r="AV25" s="137">
        <v>1</v>
      </c>
      <c r="AW25" s="137">
        <v>1</v>
      </c>
      <c r="AX25" s="137">
        <v>1</v>
      </c>
      <c r="AY25" s="137">
        <v>1</v>
      </c>
      <c r="AZ25" s="137">
        <v>1</v>
      </c>
      <c r="BA25" s="137">
        <v>1</v>
      </c>
      <c r="BB25" s="137">
        <v>1</v>
      </c>
      <c r="BC25" s="137">
        <v>1</v>
      </c>
      <c r="BD25" s="137">
        <v>1</v>
      </c>
      <c r="BE25" s="137">
        <v>1</v>
      </c>
      <c r="BF25" s="137">
        <v>1</v>
      </c>
      <c r="BG25" s="137">
        <v>1</v>
      </c>
      <c r="BH25" s="137">
        <v>1</v>
      </c>
      <c r="BI25" s="137">
        <v>1</v>
      </c>
      <c r="BJ25" s="137">
        <v>1</v>
      </c>
      <c r="BK25" s="137">
        <v>1</v>
      </c>
      <c r="BL25" s="137">
        <v>1</v>
      </c>
      <c r="BM25" s="137">
        <v>1</v>
      </c>
      <c r="BN25" s="137">
        <v>1</v>
      </c>
      <c r="BO25" s="137">
        <v>1</v>
      </c>
      <c r="BP25" s="137">
        <v>1</v>
      </c>
      <c r="BQ25" s="137">
        <v>1</v>
      </c>
      <c r="BR25" s="137">
        <v>1</v>
      </c>
      <c r="BS25" s="137">
        <v>1</v>
      </c>
      <c r="BT25" s="137">
        <v>1</v>
      </c>
      <c r="BU25" s="137">
        <v>1</v>
      </c>
      <c r="BV25" s="137">
        <v>1</v>
      </c>
      <c r="BW25" s="137">
        <v>1</v>
      </c>
      <c r="BX25" s="137">
        <v>1</v>
      </c>
      <c r="BY25" s="137">
        <v>1</v>
      </c>
      <c r="BZ25" s="137">
        <v>1</v>
      </c>
      <c r="CA25" s="137">
        <v>1</v>
      </c>
      <c r="CB25" s="137">
        <v>1</v>
      </c>
      <c r="CC25" s="137">
        <v>1</v>
      </c>
      <c r="CD25" s="137">
        <v>1</v>
      </c>
      <c r="CE25" s="137">
        <v>1</v>
      </c>
      <c r="CF25" s="137">
        <v>1</v>
      </c>
      <c r="CG25" s="137">
        <v>1</v>
      </c>
      <c r="CH25" s="137">
        <v>1</v>
      </c>
      <c r="CI25" s="137">
        <v>1</v>
      </c>
      <c r="CJ25" s="137">
        <v>1</v>
      </c>
      <c r="CK25" s="137">
        <v>1</v>
      </c>
      <c r="CL25" s="137">
        <v>1</v>
      </c>
      <c r="CM25" s="137">
        <v>1</v>
      </c>
      <c r="CN25" s="137">
        <v>1</v>
      </c>
      <c r="CO25" s="137">
        <v>1</v>
      </c>
      <c r="CP25" s="137">
        <v>1</v>
      </c>
      <c r="CQ25" s="137">
        <v>1</v>
      </c>
      <c r="CR25" s="137">
        <v>1</v>
      </c>
      <c r="CS25" s="137">
        <v>1</v>
      </c>
      <c r="CT25" s="137">
        <v>1</v>
      </c>
      <c r="CU25" s="137">
        <v>1</v>
      </c>
      <c r="CV25" s="137">
        <v>1</v>
      </c>
      <c r="CW25" s="137">
        <v>1</v>
      </c>
      <c r="CX25" s="137">
        <v>1</v>
      </c>
      <c r="CY25" s="137">
        <v>1</v>
      </c>
      <c r="CZ25" s="137">
        <v>1</v>
      </c>
      <c r="DA25" s="137">
        <v>1</v>
      </c>
      <c r="DB25" s="137">
        <v>1</v>
      </c>
      <c r="DC25" s="137">
        <v>1</v>
      </c>
      <c r="DD25" s="137">
        <v>1</v>
      </c>
      <c r="DE25" s="137">
        <v>1</v>
      </c>
      <c r="DF25" s="137">
        <v>1</v>
      </c>
      <c r="DG25" s="137">
        <v>1</v>
      </c>
      <c r="DH25" s="137">
        <v>1</v>
      </c>
      <c r="DI25" s="137">
        <v>1</v>
      </c>
      <c r="DJ25" s="137">
        <v>1</v>
      </c>
      <c r="DK25" s="137">
        <v>1</v>
      </c>
      <c r="DL25" s="137">
        <v>1</v>
      </c>
      <c r="DM25" s="137">
        <v>1</v>
      </c>
      <c r="DN25" s="137">
        <v>1</v>
      </c>
      <c r="DO25" s="137">
        <v>1</v>
      </c>
      <c r="DP25" s="137">
        <v>1</v>
      </c>
      <c r="DQ25" s="137">
        <v>1</v>
      </c>
      <c r="DR25" s="137">
        <v>1</v>
      </c>
      <c r="DS25" s="137">
        <v>1</v>
      </c>
      <c r="DT25" s="137">
        <v>1</v>
      </c>
      <c r="DU25" s="137">
        <v>1</v>
      </c>
      <c r="DV25" s="137">
        <v>1</v>
      </c>
      <c r="DW25" s="137">
        <v>1</v>
      </c>
      <c r="DX25" s="137">
        <v>1</v>
      </c>
    </row>
    <row r="26" spans="1:132" outlineLevel="1" x14ac:dyDescent="0.3">
      <c r="A26" s="137" t="s">
        <v>322</v>
      </c>
      <c r="B26" s="178">
        <f t="shared" si="4"/>
        <v>10.40625</v>
      </c>
      <c r="C26" s="137">
        <f t="shared" ref="C26:E30" si="5">horas_2+min_15</f>
        <v>0.28125</v>
      </c>
      <c r="D26" s="137">
        <f t="shared" si="5"/>
        <v>0.28125</v>
      </c>
      <c r="E26" s="137">
        <f t="shared" si="5"/>
        <v>0.28125</v>
      </c>
      <c r="F26" s="137">
        <f>min_15</f>
        <v>3.125E-2</v>
      </c>
      <c r="G26" s="137">
        <f>horas_2+min_15</f>
        <v>0.28125</v>
      </c>
      <c r="H26" s="137">
        <f t="shared" ref="H26:L30" si="6">min_15</f>
        <v>3.125E-2</v>
      </c>
      <c r="I26" s="137">
        <f t="shared" si="6"/>
        <v>3.125E-2</v>
      </c>
      <c r="J26" s="137">
        <f t="shared" si="6"/>
        <v>3.125E-2</v>
      </c>
      <c r="K26" s="137">
        <f t="shared" si="6"/>
        <v>3.125E-2</v>
      </c>
      <c r="L26" s="137">
        <f t="shared" si="6"/>
        <v>3.125E-2</v>
      </c>
      <c r="M26" s="137">
        <f>horas_2+min_15</f>
        <v>0.28125</v>
      </c>
      <c r="N26" s="137">
        <f t="shared" ref="N26:Q30" si="7">min_15</f>
        <v>3.125E-2</v>
      </c>
      <c r="O26" s="137">
        <f t="shared" si="7"/>
        <v>3.125E-2</v>
      </c>
      <c r="P26" s="137">
        <f t="shared" si="7"/>
        <v>3.125E-2</v>
      </c>
      <c r="Q26" s="137">
        <f t="shared" si="7"/>
        <v>3.125E-2</v>
      </c>
      <c r="R26" s="137">
        <f>horas_2+min_15</f>
        <v>0.28125</v>
      </c>
      <c r="S26" s="137">
        <f t="shared" ref="S26:U30" si="8">min_15</f>
        <v>3.125E-2</v>
      </c>
      <c r="T26" s="137">
        <f t="shared" si="8"/>
        <v>3.125E-2</v>
      </c>
      <c r="U26" s="137">
        <f t="shared" si="8"/>
        <v>3.125E-2</v>
      </c>
      <c r="V26" s="137">
        <f>horas_2+min_15</f>
        <v>0.28125</v>
      </c>
      <c r="W26" s="137">
        <f t="shared" ref="W26:Z30" si="9">min_15</f>
        <v>3.125E-2</v>
      </c>
      <c r="X26" s="137">
        <f t="shared" si="9"/>
        <v>3.125E-2</v>
      </c>
      <c r="Y26" s="137">
        <f t="shared" si="9"/>
        <v>3.125E-2</v>
      </c>
      <c r="Z26" s="137">
        <f t="shared" si="9"/>
        <v>3.125E-2</v>
      </c>
      <c r="AA26" s="137">
        <f>horas_2+min_15</f>
        <v>0.28125</v>
      </c>
      <c r="AB26" s="137">
        <f t="shared" ref="AB26:AE30" si="10">min_15</f>
        <v>3.125E-2</v>
      </c>
      <c r="AC26" s="137">
        <f t="shared" si="10"/>
        <v>3.125E-2</v>
      </c>
      <c r="AD26" s="137">
        <f t="shared" si="10"/>
        <v>3.125E-2</v>
      </c>
      <c r="AE26" s="137">
        <f t="shared" si="10"/>
        <v>3.125E-2</v>
      </c>
      <c r="AF26" s="137">
        <f>horas_2+min_15</f>
        <v>0.28125</v>
      </c>
      <c r="AG26" s="137">
        <f t="shared" ref="AG26:AJ30" si="11">min_15</f>
        <v>3.125E-2</v>
      </c>
      <c r="AH26" s="137">
        <f t="shared" si="11"/>
        <v>3.125E-2</v>
      </c>
      <c r="AI26" s="137">
        <f t="shared" si="11"/>
        <v>3.125E-2</v>
      </c>
      <c r="AJ26" s="137">
        <f t="shared" si="11"/>
        <v>3.125E-2</v>
      </c>
      <c r="AK26" s="137">
        <f>horas_2+min_15</f>
        <v>0.28125</v>
      </c>
      <c r="AL26" s="137">
        <f t="shared" ref="AL26:AN30" si="12">min_15</f>
        <v>3.125E-2</v>
      </c>
      <c r="AM26" s="137">
        <f t="shared" si="12"/>
        <v>3.125E-2</v>
      </c>
      <c r="AN26" s="137">
        <f t="shared" si="12"/>
        <v>3.125E-2</v>
      </c>
      <c r="AO26" s="137">
        <f>horas_2+min_15</f>
        <v>0.28125</v>
      </c>
      <c r="AP26" s="137">
        <f t="shared" ref="AP26:AS30" si="13">min_15</f>
        <v>3.125E-2</v>
      </c>
      <c r="AQ26" s="137">
        <f t="shared" si="13"/>
        <v>3.125E-2</v>
      </c>
      <c r="AR26" s="137">
        <f t="shared" si="13"/>
        <v>3.125E-2</v>
      </c>
      <c r="AS26" s="137">
        <f t="shared" si="13"/>
        <v>3.125E-2</v>
      </c>
      <c r="AT26" s="137">
        <f>horas_2+min_15</f>
        <v>0.28125</v>
      </c>
      <c r="AU26" s="137">
        <f t="shared" ref="AU26:AX30" si="14">min_15</f>
        <v>3.125E-2</v>
      </c>
      <c r="AV26" s="137">
        <f t="shared" si="14"/>
        <v>3.125E-2</v>
      </c>
      <c r="AW26" s="137">
        <f t="shared" si="14"/>
        <v>3.125E-2</v>
      </c>
      <c r="AX26" s="137">
        <f t="shared" si="14"/>
        <v>3.125E-2</v>
      </c>
      <c r="AY26" s="137">
        <f>horas_2+min_15</f>
        <v>0.28125</v>
      </c>
      <c r="AZ26" s="137">
        <f t="shared" ref="AZ26:BI28" si="15">min_15</f>
        <v>3.125E-2</v>
      </c>
      <c r="BA26" s="137">
        <f t="shared" si="15"/>
        <v>3.125E-2</v>
      </c>
      <c r="BB26" s="137">
        <f t="shared" si="15"/>
        <v>3.125E-2</v>
      </c>
      <c r="BC26" s="137">
        <f t="shared" si="15"/>
        <v>3.125E-2</v>
      </c>
      <c r="BD26" s="137">
        <f t="shared" si="15"/>
        <v>3.125E-2</v>
      </c>
      <c r="BE26" s="137">
        <f t="shared" si="15"/>
        <v>3.125E-2</v>
      </c>
      <c r="BF26" s="137">
        <f t="shared" si="15"/>
        <v>3.125E-2</v>
      </c>
      <c r="BG26" s="137">
        <f t="shared" si="15"/>
        <v>3.125E-2</v>
      </c>
      <c r="BH26" s="137">
        <f t="shared" si="15"/>
        <v>3.125E-2</v>
      </c>
      <c r="BI26" s="137">
        <f t="shared" si="15"/>
        <v>3.125E-2</v>
      </c>
      <c r="BJ26" s="137">
        <f t="shared" ref="BJ26:BP28" si="16">min_15</f>
        <v>3.125E-2</v>
      </c>
      <c r="BK26" s="137">
        <f t="shared" si="16"/>
        <v>3.125E-2</v>
      </c>
      <c r="BL26" s="137">
        <f t="shared" si="16"/>
        <v>3.125E-2</v>
      </c>
      <c r="BM26" s="137">
        <f t="shared" si="16"/>
        <v>3.125E-2</v>
      </c>
      <c r="BN26" s="137">
        <f t="shared" si="16"/>
        <v>3.125E-2</v>
      </c>
      <c r="BO26" s="137">
        <f t="shared" si="16"/>
        <v>3.125E-2</v>
      </c>
      <c r="BP26" s="137">
        <f t="shared" si="16"/>
        <v>3.125E-2</v>
      </c>
      <c r="BQ26" s="179">
        <f>horas_2+min_15</f>
        <v>0.28125</v>
      </c>
      <c r="BR26" s="137">
        <f>min_15</f>
        <v>3.125E-2</v>
      </c>
      <c r="BS26" s="137">
        <f>horas_2+min_15</f>
        <v>0.28125</v>
      </c>
      <c r="BT26" s="137">
        <f t="shared" ref="BT26:BW30" si="17">min_15</f>
        <v>3.125E-2</v>
      </c>
      <c r="BU26" s="137">
        <f t="shared" si="17"/>
        <v>3.125E-2</v>
      </c>
      <c r="BV26" s="137">
        <f t="shared" si="17"/>
        <v>3.125E-2</v>
      </c>
      <c r="BW26" s="137">
        <f t="shared" si="17"/>
        <v>3.125E-2</v>
      </c>
      <c r="BX26" s="137">
        <f>horas_2+min_15</f>
        <v>0.28125</v>
      </c>
      <c r="BY26" s="137">
        <f t="shared" ref="BY26:CB30" si="18">min_15</f>
        <v>3.125E-2</v>
      </c>
      <c r="BZ26" s="137">
        <f t="shared" si="18"/>
        <v>3.125E-2</v>
      </c>
      <c r="CA26" s="137">
        <f t="shared" si="18"/>
        <v>3.125E-2</v>
      </c>
      <c r="CB26" s="137">
        <f t="shared" si="18"/>
        <v>3.125E-2</v>
      </c>
      <c r="CC26" s="137">
        <f>horas_2+min_15</f>
        <v>0.28125</v>
      </c>
      <c r="CD26" s="137">
        <f t="shared" ref="CD26:CG30" si="19">min_15</f>
        <v>3.125E-2</v>
      </c>
      <c r="CE26" s="137">
        <f t="shared" si="19"/>
        <v>3.125E-2</v>
      </c>
      <c r="CF26" s="137">
        <f t="shared" si="19"/>
        <v>3.125E-2</v>
      </c>
      <c r="CG26" s="137">
        <f t="shared" si="19"/>
        <v>3.125E-2</v>
      </c>
      <c r="CH26" s="137">
        <f>horas_2+min_15</f>
        <v>0.28125</v>
      </c>
      <c r="CI26" s="137">
        <f t="shared" ref="CI26:CL30" si="20">min_15</f>
        <v>3.125E-2</v>
      </c>
      <c r="CJ26" s="137">
        <f t="shared" si="20"/>
        <v>3.125E-2</v>
      </c>
      <c r="CK26" s="137">
        <f t="shared" si="20"/>
        <v>3.125E-2</v>
      </c>
      <c r="CL26" s="137">
        <f t="shared" si="20"/>
        <v>3.125E-2</v>
      </c>
      <c r="CM26" s="137">
        <f>horas_2+min_15</f>
        <v>0.28125</v>
      </c>
      <c r="CN26" s="137">
        <f t="shared" ref="CN26:CQ30" si="21">min_15</f>
        <v>3.125E-2</v>
      </c>
      <c r="CO26" s="137">
        <f t="shared" si="21"/>
        <v>3.125E-2</v>
      </c>
      <c r="CP26" s="137">
        <f t="shared" si="21"/>
        <v>3.125E-2</v>
      </c>
      <c r="CQ26" s="137">
        <f t="shared" si="21"/>
        <v>3.125E-2</v>
      </c>
      <c r="CR26" s="137">
        <f>horas_2+min_15</f>
        <v>0.28125</v>
      </c>
      <c r="CS26" s="137">
        <f t="shared" ref="CS26:CU30" si="22">min_15</f>
        <v>3.125E-2</v>
      </c>
      <c r="CT26" s="137">
        <f t="shared" si="22"/>
        <v>3.125E-2</v>
      </c>
      <c r="CU26" s="137">
        <f t="shared" si="22"/>
        <v>3.125E-2</v>
      </c>
      <c r="CV26" s="137">
        <f>horas_2+min_15</f>
        <v>0.28125</v>
      </c>
      <c r="CW26" s="137">
        <f t="shared" ref="CW26:DA30" si="23">min_15</f>
        <v>3.125E-2</v>
      </c>
      <c r="CX26" s="137">
        <f t="shared" si="23"/>
        <v>3.125E-2</v>
      </c>
      <c r="CY26" s="137">
        <f t="shared" si="23"/>
        <v>3.125E-2</v>
      </c>
      <c r="CZ26" s="137">
        <f t="shared" si="23"/>
        <v>3.125E-2</v>
      </c>
      <c r="DA26" s="137">
        <f t="shared" si="23"/>
        <v>3.125E-2</v>
      </c>
      <c r="DB26" s="137">
        <f>horas_2+min_15</f>
        <v>0.28125</v>
      </c>
      <c r="DC26" s="137">
        <f t="shared" ref="DC26:DG30" si="24">min_15</f>
        <v>3.125E-2</v>
      </c>
      <c r="DD26" s="137">
        <f t="shared" si="24"/>
        <v>3.125E-2</v>
      </c>
      <c r="DE26" s="137">
        <f t="shared" si="24"/>
        <v>3.125E-2</v>
      </c>
      <c r="DF26" s="137">
        <f t="shared" si="24"/>
        <v>3.125E-2</v>
      </c>
      <c r="DG26" s="137">
        <f t="shared" si="24"/>
        <v>3.125E-2</v>
      </c>
      <c r="DH26" s="137">
        <f>horas_2+min_15</f>
        <v>0.28125</v>
      </c>
      <c r="DI26" s="137">
        <f t="shared" ref="DI26:DK30" si="25">min_15</f>
        <v>3.125E-2</v>
      </c>
      <c r="DJ26" s="137">
        <f t="shared" si="25"/>
        <v>3.125E-2</v>
      </c>
      <c r="DK26" s="137">
        <f t="shared" si="25"/>
        <v>3.125E-2</v>
      </c>
      <c r="DL26" s="137">
        <f>horas_2+min_15</f>
        <v>0.28125</v>
      </c>
      <c r="DM26" s="137">
        <f t="shared" ref="DM26:DP30" si="26">min_15</f>
        <v>3.125E-2</v>
      </c>
      <c r="DN26" s="137">
        <f t="shared" si="26"/>
        <v>3.125E-2</v>
      </c>
      <c r="DO26" s="137">
        <f t="shared" si="26"/>
        <v>3.125E-2</v>
      </c>
      <c r="DP26" s="137">
        <f t="shared" si="26"/>
        <v>3.125E-2</v>
      </c>
      <c r="DQ26" s="137">
        <f>horas_2+min_15</f>
        <v>0.28125</v>
      </c>
      <c r="DR26" s="137">
        <f t="shared" ref="DR26:DV30" si="27">min_15</f>
        <v>3.125E-2</v>
      </c>
      <c r="DS26" s="137">
        <f t="shared" si="27"/>
        <v>3.125E-2</v>
      </c>
      <c r="DT26" s="137">
        <f t="shared" si="27"/>
        <v>3.125E-2</v>
      </c>
      <c r="DU26" s="137">
        <f t="shared" si="27"/>
        <v>3.125E-2</v>
      </c>
      <c r="DV26" s="137">
        <f t="shared" si="27"/>
        <v>3.125E-2</v>
      </c>
      <c r="DW26" s="137">
        <f>horas_2+min_15</f>
        <v>0.28125</v>
      </c>
      <c r="DX26" s="137">
        <f>min_15</f>
        <v>3.125E-2</v>
      </c>
    </row>
    <row r="27" spans="1:132" outlineLevel="1" x14ac:dyDescent="0.3">
      <c r="A27" s="137" t="s">
        <v>323</v>
      </c>
      <c r="B27" s="178">
        <f t="shared" si="4"/>
        <v>10.0625</v>
      </c>
      <c r="C27" s="137">
        <f t="shared" si="5"/>
        <v>0.28125</v>
      </c>
      <c r="D27" s="137">
        <f t="shared" si="5"/>
        <v>0.28125</v>
      </c>
      <c r="E27" s="137">
        <f t="shared" si="5"/>
        <v>0.28125</v>
      </c>
      <c r="F27" s="137">
        <f>min_15</f>
        <v>3.125E-2</v>
      </c>
      <c r="G27" s="137">
        <f>horas_2+min_15</f>
        <v>0.28125</v>
      </c>
      <c r="H27" s="137">
        <f t="shared" si="6"/>
        <v>3.125E-2</v>
      </c>
      <c r="I27" s="137">
        <f t="shared" si="6"/>
        <v>3.125E-2</v>
      </c>
      <c r="J27" s="137">
        <f t="shared" si="6"/>
        <v>3.125E-2</v>
      </c>
      <c r="K27" s="137">
        <f t="shared" si="6"/>
        <v>3.125E-2</v>
      </c>
      <c r="L27" s="137">
        <f t="shared" si="6"/>
        <v>3.125E-2</v>
      </c>
      <c r="M27" s="137">
        <f>horas_2+min_15</f>
        <v>0.28125</v>
      </c>
      <c r="N27" s="137">
        <f t="shared" si="7"/>
        <v>3.125E-2</v>
      </c>
      <c r="O27" s="137">
        <f t="shared" si="7"/>
        <v>3.125E-2</v>
      </c>
      <c r="P27" s="137">
        <f t="shared" si="7"/>
        <v>3.125E-2</v>
      </c>
      <c r="Q27" s="137">
        <f t="shared" si="7"/>
        <v>3.125E-2</v>
      </c>
      <c r="R27" s="137">
        <f>horas_2+min_15</f>
        <v>0.28125</v>
      </c>
      <c r="S27" s="137">
        <f t="shared" si="8"/>
        <v>3.125E-2</v>
      </c>
      <c r="T27" s="137">
        <f t="shared" si="8"/>
        <v>3.125E-2</v>
      </c>
      <c r="U27" s="137">
        <f t="shared" si="8"/>
        <v>3.125E-2</v>
      </c>
      <c r="V27" s="137">
        <f>horas_2+min_15</f>
        <v>0.28125</v>
      </c>
      <c r="W27" s="137">
        <f t="shared" si="9"/>
        <v>3.125E-2</v>
      </c>
      <c r="X27" s="137">
        <f t="shared" si="9"/>
        <v>3.125E-2</v>
      </c>
      <c r="Y27" s="137">
        <f t="shared" si="9"/>
        <v>3.125E-2</v>
      </c>
      <c r="Z27" s="137">
        <f t="shared" si="9"/>
        <v>3.125E-2</v>
      </c>
      <c r="AA27" s="137">
        <f>horas_2+min_15</f>
        <v>0.28125</v>
      </c>
      <c r="AB27" s="137">
        <f t="shared" si="10"/>
        <v>3.125E-2</v>
      </c>
      <c r="AC27" s="137">
        <f t="shared" si="10"/>
        <v>3.125E-2</v>
      </c>
      <c r="AD27" s="137">
        <f t="shared" si="10"/>
        <v>3.125E-2</v>
      </c>
      <c r="AE27" s="137">
        <f t="shared" si="10"/>
        <v>3.125E-2</v>
      </c>
      <c r="AF27" s="137">
        <f>horas_2+min_15</f>
        <v>0.28125</v>
      </c>
      <c r="AG27" s="137">
        <f t="shared" si="11"/>
        <v>3.125E-2</v>
      </c>
      <c r="AH27" s="137">
        <f t="shared" si="11"/>
        <v>3.125E-2</v>
      </c>
      <c r="AI27" s="137">
        <f t="shared" si="11"/>
        <v>3.125E-2</v>
      </c>
      <c r="AJ27" s="137">
        <f t="shared" si="11"/>
        <v>3.125E-2</v>
      </c>
      <c r="AK27" s="137">
        <f>horas_2+min_15</f>
        <v>0.28125</v>
      </c>
      <c r="AL27" s="137">
        <f t="shared" si="12"/>
        <v>3.125E-2</v>
      </c>
      <c r="AM27" s="137">
        <f t="shared" si="12"/>
        <v>3.125E-2</v>
      </c>
      <c r="AN27" s="137">
        <f t="shared" si="12"/>
        <v>3.125E-2</v>
      </c>
      <c r="AO27" s="137">
        <f>horas_2+min_15</f>
        <v>0.28125</v>
      </c>
      <c r="AP27" s="137">
        <f t="shared" si="13"/>
        <v>3.125E-2</v>
      </c>
      <c r="AQ27" s="137">
        <f t="shared" si="13"/>
        <v>3.125E-2</v>
      </c>
      <c r="AR27" s="137">
        <f t="shared" si="13"/>
        <v>3.125E-2</v>
      </c>
      <c r="AS27" s="137">
        <f t="shared" si="13"/>
        <v>3.125E-2</v>
      </c>
      <c r="AT27" s="137">
        <f>horas_2+min_15</f>
        <v>0.28125</v>
      </c>
      <c r="AU27" s="137">
        <f t="shared" si="14"/>
        <v>3.125E-2</v>
      </c>
      <c r="AV27" s="137">
        <f t="shared" si="14"/>
        <v>3.125E-2</v>
      </c>
      <c r="AW27" s="137">
        <f t="shared" si="14"/>
        <v>3.125E-2</v>
      </c>
      <c r="AX27" s="137">
        <f t="shared" si="14"/>
        <v>3.125E-2</v>
      </c>
      <c r="AY27" s="137">
        <f>horas_2+min_15</f>
        <v>0.28125</v>
      </c>
      <c r="AZ27" s="137">
        <f t="shared" si="15"/>
        <v>3.125E-2</v>
      </c>
      <c r="BA27" s="137">
        <f t="shared" si="15"/>
        <v>3.125E-2</v>
      </c>
      <c r="BB27" s="137">
        <f t="shared" si="15"/>
        <v>3.125E-2</v>
      </c>
      <c r="BC27" s="137">
        <f t="shared" si="15"/>
        <v>3.125E-2</v>
      </c>
      <c r="BD27" s="137">
        <f t="shared" si="15"/>
        <v>3.125E-2</v>
      </c>
      <c r="BE27" s="137">
        <f t="shared" si="15"/>
        <v>3.125E-2</v>
      </c>
      <c r="BF27" s="137">
        <f t="shared" si="15"/>
        <v>3.125E-2</v>
      </c>
      <c r="BG27" s="137">
        <f t="shared" si="15"/>
        <v>3.125E-2</v>
      </c>
      <c r="BH27" s="137">
        <f t="shared" si="15"/>
        <v>3.125E-2</v>
      </c>
      <c r="BI27" s="137">
        <f t="shared" si="15"/>
        <v>3.125E-2</v>
      </c>
      <c r="BJ27" s="137">
        <f t="shared" si="16"/>
        <v>3.125E-2</v>
      </c>
      <c r="BK27" s="137">
        <f t="shared" si="16"/>
        <v>3.125E-2</v>
      </c>
      <c r="BL27" s="137">
        <f t="shared" si="16"/>
        <v>3.125E-2</v>
      </c>
      <c r="BM27" s="137">
        <f t="shared" si="16"/>
        <v>3.125E-2</v>
      </c>
      <c r="BN27" s="137">
        <f t="shared" si="16"/>
        <v>3.125E-2</v>
      </c>
      <c r="BO27" s="137">
        <f t="shared" si="16"/>
        <v>3.125E-2</v>
      </c>
      <c r="BP27" s="137">
        <f t="shared" si="16"/>
        <v>3.125E-2</v>
      </c>
      <c r="BQ27" s="179">
        <f>horas_2+min_15</f>
        <v>0.28125</v>
      </c>
      <c r="BR27" s="137">
        <f>min_15</f>
        <v>3.125E-2</v>
      </c>
      <c r="BS27" s="137">
        <f>horas_2+min_15</f>
        <v>0.28125</v>
      </c>
      <c r="BT27" s="137">
        <f t="shared" si="17"/>
        <v>3.125E-2</v>
      </c>
      <c r="BU27" s="137">
        <f t="shared" si="17"/>
        <v>3.125E-2</v>
      </c>
      <c r="BV27" s="137">
        <f t="shared" si="17"/>
        <v>3.125E-2</v>
      </c>
      <c r="BW27" s="137">
        <f t="shared" si="17"/>
        <v>3.125E-2</v>
      </c>
      <c r="BX27" s="137">
        <f>horas_2+min_15</f>
        <v>0.28125</v>
      </c>
      <c r="BY27" s="137">
        <f t="shared" si="18"/>
        <v>3.125E-2</v>
      </c>
      <c r="BZ27" s="137">
        <f t="shared" si="18"/>
        <v>3.125E-2</v>
      </c>
      <c r="CA27" s="137">
        <f t="shared" si="18"/>
        <v>3.125E-2</v>
      </c>
      <c r="CB27" s="137">
        <f t="shared" si="18"/>
        <v>3.125E-2</v>
      </c>
      <c r="CC27" s="228" t="s">
        <v>387</v>
      </c>
      <c r="CD27" s="228"/>
      <c r="CE27" s="228"/>
      <c r="CF27" s="137">
        <f t="shared" si="19"/>
        <v>3.125E-2</v>
      </c>
      <c r="CG27" s="137">
        <f t="shared" si="19"/>
        <v>3.125E-2</v>
      </c>
      <c r="CH27" s="137">
        <f>horas_2+min_15</f>
        <v>0.28125</v>
      </c>
      <c r="CI27" s="137">
        <f t="shared" si="20"/>
        <v>3.125E-2</v>
      </c>
      <c r="CJ27" s="137">
        <f t="shared" si="20"/>
        <v>3.125E-2</v>
      </c>
      <c r="CK27" s="137">
        <f t="shared" si="20"/>
        <v>3.125E-2</v>
      </c>
      <c r="CL27" s="137">
        <f t="shared" si="20"/>
        <v>3.125E-2</v>
      </c>
      <c r="CM27" s="137">
        <f>horas_2+min_15</f>
        <v>0.28125</v>
      </c>
      <c r="CN27" s="137">
        <f t="shared" si="21"/>
        <v>3.125E-2</v>
      </c>
      <c r="CO27" s="137">
        <f t="shared" si="21"/>
        <v>3.125E-2</v>
      </c>
      <c r="CP27" s="137">
        <f t="shared" si="21"/>
        <v>3.125E-2</v>
      </c>
      <c r="CQ27" s="137">
        <f t="shared" si="21"/>
        <v>3.125E-2</v>
      </c>
      <c r="CR27" s="137">
        <f>horas_2+min_15</f>
        <v>0.28125</v>
      </c>
      <c r="CS27" s="137">
        <f t="shared" si="22"/>
        <v>3.125E-2</v>
      </c>
      <c r="CT27" s="137">
        <f t="shared" si="22"/>
        <v>3.125E-2</v>
      </c>
      <c r="CU27" s="137">
        <f t="shared" si="22"/>
        <v>3.125E-2</v>
      </c>
      <c r="CV27" s="137">
        <f>horas_2+min_15</f>
        <v>0.28125</v>
      </c>
      <c r="CW27" s="137">
        <f t="shared" si="23"/>
        <v>3.125E-2</v>
      </c>
      <c r="CX27" s="137">
        <f t="shared" si="23"/>
        <v>3.125E-2</v>
      </c>
      <c r="CY27" s="137">
        <f t="shared" si="23"/>
        <v>3.125E-2</v>
      </c>
      <c r="CZ27" s="137">
        <f t="shared" si="23"/>
        <v>3.125E-2</v>
      </c>
      <c r="DA27" s="137">
        <f t="shared" si="23"/>
        <v>3.125E-2</v>
      </c>
      <c r="DB27" s="137">
        <f>horas_2+min_15</f>
        <v>0.28125</v>
      </c>
      <c r="DC27" s="137">
        <f t="shared" si="24"/>
        <v>3.125E-2</v>
      </c>
      <c r="DD27" s="137">
        <f t="shared" si="24"/>
        <v>3.125E-2</v>
      </c>
      <c r="DE27" s="137">
        <f t="shared" si="24"/>
        <v>3.125E-2</v>
      </c>
      <c r="DF27" s="137">
        <f t="shared" si="24"/>
        <v>3.125E-2</v>
      </c>
      <c r="DG27" s="137">
        <f t="shared" si="24"/>
        <v>3.125E-2</v>
      </c>
      <c r="DH27" s="137">
        <f>horas_2+min_15</f>
        <v>0.28125</v>
      </c>
      <c r="DI27" s="137">
        <f t="shared" si="25"/>
        <v>3.125E-2</v>
      </c>
      <c r="DJ27" s="137">
        <f t="shared" si="25"/>
        <v>3.125E-2</v>
      </c>
      <c r="DK27" s="137">
        <f t="shared" si="25"/>
        <v>3.125E-2</v>
      </c>
      <c r="DL27" s="137">
        <f>horas_2+min_15</f>
        <v>0.28125</v>
      </c>
      <c r="DM27" s="137">
        <f t="shared" si="26"/>
        <v>3.125E-2</v>
      </c>
      <c r="DN27" s="137">
        <f t="shared" si="26"/>
        <v>3.125E-2</v>
      </c>
      <c r="DO27" s="137">
        <f t="shared" si="26"/>
        <v>3.125E-2</v>
      </c>
      <c r="DP27" s="137">
        <f t="shared" si="26"/>
        <v>3.125E-2</v>
      </c>
      <c r="DQ27" s="137">
        <f>horas_2+min_15</f>
        <v>0.28125</v>
      </c>
      <c r="DR27" s="137">
        <f t="shared" si="27"/>
        <v>3.125E-2</v>
      </c>
      <c r="DS27" s="137">
        <f t="shared" si="27"/>
        <v>3.125E-2</v>
      </c>
      <c r="DT27" s="137">
        <f t="shared" si="27"/>
        <v>3.125E-2</v>
      </c>
      <c r="DU27" s="137">
        <f t="shared" si="27"/>
        <v>3.125E-2</v>
      </c>
      <c r="DV27" s="137">
        <f t="shared" si="27"/>
        <v>3.125E-2</v>
      </c>
      <c r="DW27" s="137">
        <f>horas_2+min_15</f>
        <v>0.28125</v>
      </c>
      <c r="DX27" s="137">
        <f>min_15</f>
        <v>3.125E-2</v>
      </c>
    </row>
    <row r="28" spans="1:132" outlineLevel="1" x14ac:dyDescent="0.3">
      <c r="A28" s="137" t="s">
        <v>324</v>
      </c>
      <c r="B28" s="178">
        <f t="shared" si="4"/>
        <v>10.25</v>
      </c>
      <c r="C28" s="137">
        <f t="shared" si="5"/>
        <v>0.28125</v>
      </c>
      <c r="D28" s="137">
        <f t="shared" si="5"/>
        <v>0.28125</v>
      </c>
      <c r="E28" s="137">
        <f t="shared" si="5"/>
        <v>0.28125</v>
      </c>
      <c r="F28" s="137">
        <f>min_15</f>
        <v>3.125E-2</v>
      </c>
      <c r="G28" s="137">
        <f>horas_2+min_15</f>
        <v>0.28125</v>
      </c>
      <c r="H28" s="137">
        <f t="shared" si="6"/>
        <v>3.125E-2</v>
      </c>
      <c r="I28" s="137">
        <f t="shared" si="6"/>
        <v>3.125E-2</v>
      </c>
      <c r="J28" s="137">
        <f t="shared" si="6"/>
        <v>3.125E-2</v>
      </c>
      <c r="K28" s="137">
        <f t="shared" si="6"/>
        <v>3.125E-2</v>
      </c>
      <c r="L28" s="137">
        <f t="shared" si="6"/>
        <v>3.125E-2</v>
      </c>
      <c r="M28" s="137">
        <f>horas_2+min_15</f>
        <v>0.28125</v>
      </c>
      <c r="N28" s="137">
        <f t="shared" si="7"/>
        <v>3.125E-2</v>
      </c>
      <c r="O28" s="137">
        <f t="shared" si="7"/>
        <v>3.125E-2</v>
      </c>
      <c r="P28" s="137">
        <f t="shared" si="7"/>
        <v>3.125E-2</v>
      </c>
      <c r="Q28" s="137">
        <f t="shared" si="7"/>
        <v>3.125E-2</v>
      </c>
      <c r="R28" s="137">
        <f>horas_2+min_15</f>
        <v>0.28125</v>
      </c>
      <c r="S28" s="137">
        <f t="shared" si="8"/>
        <v>3.125E-2</v>
      </c>
      <c r="T28" s="137">
        <f t="shared" si="8"/>
        <v>3.125E-2</v>
      </c>
      <c r="U28" s="137">
        <f t="shared" si="8"/>
        <v>3.125E-2</v>
      </c>
      <c r="V28" s="137">
        <f>horas_2+min_15</f>
        <v>0.28125</v>
      </c>
      <c r="W28" s="137">
        <f t="shared" si="9"/>
        <v>3.125E-2</v>
      </c>
      <c r="X28" s="137">
        <f t="shared" si="9"/>
        <v>3.125E-2</v>
      </c>
      <c r="Y28" s="137">
        <f t="shared" si="9"/>
        <v>3.125E-2</v>
      </c>
      <c r="Z28" s="137">
        <f t="shared" si="9"/>
        <v>3.125E-2</v>
      </c>
      <c r="AA28" s="137">
        <f>horas_2+min_15</f>
        <v>0.28125</v>
      </c>
      <c r="AB28" s="137">
        <f t="shared" si="10"/>
        <v>3.125E-2</v>
      </c>
      <c r="AC28" s="137">
        <f t="shared" si="10"/>
        <v>3.125E-2</v>
      </c>
      <c r="AD28" s="137">
        <f t="shared" si="10"/>
        <v>3.125E-2</v>
      </c>
      <c r="AE28" s="137">
        <f t="shared" si="10"/>
        <v>3.125E-2</v>
      </c>
      <c r="AF28" s="137">
        <f>horas_2+min_15</f>
        <v>0.28125</v>
      </c>
      <c r="AG28" s="137">
        <f t="shared" si="11"/>
        <v>3.125E-2</v>
      </c>
      <c r="AH28" s="137">
        <f t="shared" si="11"/>
        <v>3.125E-2</v>
      </c>
      <c r="AI28" s="137">
        <f t="shared" si="11"/>
        <v>3.125E-2</v>
      </c>
      <c r="AJ28" s="137">
        <f t="shared" si="11"/>
        <v>3.125E-2</v>
      </c>
      <c r="AK28" s="137">
        <f>horas_2+min_15</f>
        <v>0.28125</v>
      </c>
      <c r="AL28" s="137">
        <f t="shared" si="12"/>
        <v>3.125E-2</v>
      </c>
      <c r="AM28" s="137">
        <f t="shared" si="12"/>
        <v>3.125E-2</v>
      </c>
      <c r="AN28" s="137">
        <f t="shared" si="12"/>
        <v>3.125E-2</v>
      </c>
      <c r="AO28" s="137">
        <f>horas_2+min_15</f>
        <v>0.28125</v>
      </c>
      <c r="AP28" s="137">
        <f t="shared" si="13"/>
        <v>3.125E-2</v>
      </c>
      <c r="AQ28" s="137">
        <f t="shared" si="13"/>
        <v>3.125E-2</v>
      </c>
      <c r="AR28" s="137">
        <f t="shared" si="13"/>
        <v>3.125E-2</v>
      </c>
      <c r="AS28" s="137">
        <f t="shared" si="13"/>
        <v>3.125E-2</v>
      </c>
      <c r="AT28" s="137">
        <f>horas_2+min_15</f>
        <v>0.28125</v>
      </c>
      <c r="AU28" s="137">
        <f t="shared" si="14"/>
        <v>3.125E-2</v>
      </c>
      <c r="AV28" s="137">
        <f t="shared" si="14"/>
        <v>3.125E-2</v>
      </c>
      <c r="AW28" s="137">
        <f t="shared" si="14"/>
        <v>3.125E-2</v>
      </c>
      <c r="AX28" s="137">
        <f t="shared" si="14"/>
        <v>3.125E-2</v>
      </c>
      <c r="AY28" s="137">
        <f>horas_2+min_15</f>
        <v>0.28125</v>
      </c>
      <c r="AZ28" s="137">
        <f t="shared" si="15"/>
        <v>3.125E-2</v>
      </c>
      <c r="BA28" s="137">
        <f t="shared" si="15"/>
        <v>3.125E-2</v>
      </c>
      <c r="BB28" s="137">
        <f t="shared" si="15"/>
        <v>3.125E-2</v>
      </c>
      <c r="BC28" s="137">
        <f t="shared" si="15"/>
        <v>3.125E-2</v>
      </c>
      <c r="BD28" s="137">
        <f t="shared" si="15"/>
        <v>3.125E-2</v>
      </c>
      <c r="BE28" s="137">
        <f t="shared" si="15"/>
        <v>3.125E-2</v>
      </c>
      <c r="BF28" s="137">
        <f t="shared" si="15"/>
        <v>3.125E-2</v>
      </c>
      <c r="BG28" s="228" t="s">
        <v>386</v>
      </c>
      <c r="BH28" s="229"/>
      <c r="BI28" s="229"/>
      <c r="BJ28" s="229"/>
      <c r="BK28" s="229"/>
      <c r="BL28" s="137">
        <f t="shared" si="16"/>
        <v>3.125E-2</v>
      </c>
      <c r="BM28" s="137">
        <f t="shared" si="16"/>
        <v>3.125E-2</v>
      </c>
      <c r="BN28" s="137">
        <f t="shared" si="16"/>
        <v>3.125E-2</v>
      </c>
      <c r="BO28" s="137">
        <f t="shared" si="16"/>
        <v>3.125E-2</v>
      </c>
      <c r="BP28" s="137">
        <f t="shared" si="16"/>
        <v>3.125E-2</v>
      </c>
      <c r="BQ28" s="179">
        <f>horas_2+min_15</f>
        <v>0.28125</v>
      </c>
      <c r="BR28" s="137">
        <f>min_15</f>
        <v>3.125E-2</v>
      </c>
      <c r="BS28" s="137">
        <f>horas_2+min_15</f>
        <v>0.28125</v>
      </c>
      <c r="BT28" s="137">
        <f t="shared" si="17"/>
        <v>3.125E-2</v>
      </c>
      <c r="BU28" s="137">
        <f t="shared" si="17"/>
        <v>3.125E-2</v>
      </c>
      <c r="BV28" s="137">
        <f t="shared" si="17"/>
        <v>3.125E-2</v>
      </c>
      <c r="BW28" s="137">
        <f t="shared" si="17"/>
        <v>3.125E-2</v>
      </c>
      <c r="BX28" s="137">
        <f>horas_2+min_15</f>
        <v>0.28125</v>
      </c>
      <c r="BY28" s="137">
        <f t="shared" si="18"/>
        <v>3.125E-2</v>
      </c>
      <c r="BZ28" s="137">
        <f t="shared" si="18"/>
        <v>3.125E-2</v>
      </c>
      <c r="CA28" s="137">
        <f t="shared" si="18"/>
        <v>3.125E-2</v>
      </c>
      <c r="CB28" s="137">
        <f t="shared" si="18"/>
        <v>3.125E-2</v>
      </c>
      <c r="CC28" s="137">
        <f>horas_2+min_15</f>
        <v>0.28125</v>
      </c>
      <c r="CD28" s="137">
        <f t="shared" si="19"/>
        <v>3.125E-2</v>
      </c>
      <c r="CE28" s="137">
        <f t="shared" si="19"/>
        <v>3.125E-2</v>
      </c>
      <c r="CF28" s="137">
        <f t="shared" si="19"/>
        <v>3.125E-2</v>
      </c>
      <c r="CG28" s="137">
        <f t="shared" si="19"/>
        <v>3.125E-2</v>
      </c>
      <c r="CH28" s="137">
        <f>horas_2+min_15</f>
        <v>0.28125</v>
      </c>
      <c r="CI28" s="137">
        <f t="shared" si="20"/>
        <v>3.125E-2</v>
      </c>
      <c r="CJ28" s="137">
        <f t="shared" si="20"/>
        <v>3.125E-2</v>
      </c>
      <c r="CK28" s="137">
        <f t="shared" si="20"/>
        <v>3.125E-2</v>
      </c>
      <c r="CL28" s="137">
        <f t="shared" si="20"/>
        <v>3.125E-2</v>
      </c>
      <c r="CM28" s="137">
        <f>horas_2+min_15</f>
        <v>0.28125</v>
      </c>
      <c r="CN28" s="137">
        <f t="shared" si="21"/>
        <v>3.125E-2</v>
      </c>
      <c r="CO28" s="137">
        <f t="shared" si="21"/>
        <v>3.125E-2</v>
      </c>
      <c r="CP28" s="137">
        <f t="shared" si="21"/>
        <v>3.125E-2</v>
      </c>
      <c r="CQ28" s="137">
        <f t="shared" si="21"/>
        <v>3.125E-2</v>
      </c>
      <c r="CR28" s="137">
        <f>horas_2+min_15</f>
        <v>0.28125</v>
      </c>
      <c r="CS28" s="137">
        <f t="shared" si="22"/>
        <v>3.125E-2</v>
      </c>
      <c r="CT28" s="137">
        <f t="shared" si="22"/>
        <v>3.125E-2</v>
      </c>
      <c r="CU28" s="137">
        <f t="shared" si="22"/>
        <v>3.125E-2</v>
      </c>
      <c r="CV28" s="137">
        <f>horas_2+min_15</f>
        <v>0.28125</v>
      </c>
      <c r="CW28" s="137">
        <f t="shared" si="23"/>
        <v>3.125E-2</v>
      </c>
      <c r="CX28" s="137">
        <f t="shared" si="23"/>
        <v>3.125E-2</v>
      </c>
      <c r="CY28" s="137">
        <f t="shared" si="23"/>
        <v>3.125E-2</v>
      </c>
      <c r="CZ28" s="137">
        <f t="shared" si="23"/>
        <v>3.125E-2</v>
      </c>
      <c r="DA28" s="137">
        <f t="shared" si="23"/>
        <v>3.125E-2</v>
      </c>
      <c r="DB28" s="137">
        <f>horas_2+min_15</f>
        <v>0.28125</v>
      </c>
      <c r="DC28" s="137">
        <f t="shared" si="24"/>
        <v>3.125E-2</v>
      </c>
      <c r="DD28" s="137">
        <f t="shared" si="24"/>
        <v>3.125E-2</v>
      </c>
      <c r="DE28" s="137">
        <f t="shared" si="24"/>
        <v>3.125E-2</v>
      </c>
      <c r="DF28" s="137">
        <f t="shared" si="24"/>
        <v>3.125E-2</v>
      </c>
      <c r="DG28" s="137">
        <f t="shared" si="24"/>
        <v>3.125E-2</v>
      </c>
      <c r="DH28" s="137">
        <f>horas_2+min_15</f>
        <v>0.28125</v>
      </c>
      <c r="DI28" s="137">
        <f t="shared" si="25"/>
        <v>3.125E-2</v>
      </c>
      <c r="DJ28" s="137">
        <f t="shared" si="25"/>
        <v>3.125E-2</v>
      </c>
      <c r="DK28" s="137">
        <f t="shared" si="25"/>
        <v>3.125E-2</v>
      </c>
      <c r="DL28" s="137">
        <f>horas_2+min_15</f>
        <v>0.28125</v>
      </c>
      <c r="DM28" s="137">
        <f t="shared" si="26"/>
        <v>3.125E-2</v>
      </c>
      <c r="DN28" s="137">
        <f t="shared" si="26"/>
        <v>3.125E-2</v>
      </c>
      <c r="DO28" s="137">
        <f t="shared" si="26"/>
        <v>3.125E-2</v>
      </c>
      <c r="DP28" s="137">
        <f t="shared" si="26"/>
        <v>3.125E-2</v>
      </c>
      <c r="DQ28" s="137">
        <f>horas_2+min_15</f>
        <v>0.28125</v>
      </c>
      <c r="DR28" s="137">
        <f t="shared" si="27"/>
        <v>3.125E-2</v>
      </c>
      <c r="DS28" s="137">
        <f t="shared" si="27"/>
        <v>3.125E-2</v>
      </c>
      <c r="DT28" s="137">
        <f t="shared" si="27"/>
        <v>3.125E-2</v>
      </c>
      <c r="DU28" s="137">
        <f t="shared" si="27"/>
        <v>3.125E-2</v>
      </c>
      <c r="DV28" s="137">
        <f t="shared" si="27"/>
        <v>3.125E-2</v>
      </c>
      <c r="DW28" s="137">
        <f>horas_2+min_15</f>
        <v>0.28125</v>
      </c>
      <c r="DX28" s="137">
        <f>min_15</f>
        <v>3.125E-2</v>
      </c>
    </row>
    <row r="29" spans="1:132" customFormat="1" outlineLevel="1" x14ac:dyDescent="0.3">
      <c r="A29" t="s">
        <v>325</v>
      </c>
      <c r="B29">
        <f t="shared" si="4"/>
        <v>9.125</v>
      </c>
      <c r="C29">
        <f t="shared" si="5"/>
        <v>0.28125</v>
      </c>
      <c r="D29">
        <f t="shared" si="5"/>
        <v>0.28125</v>
      </c>
      <c r="E29">
        <f t="shared" si="5"/>
        <v>0.28125</v>
      </c>
      <c r="F29">
        <f>min_15</f>
        <v>3.125E-2</v>
      </c>
      <c r="G29">
        <f>horas_2+min_15</f>
        <v>0.28125</v>
      </c>
      <c r="H29">
        <f t="shared" si="6"/>
        <v>3.125E-2</v>
      </c>
      <c r="I29">
        <f t="shared" si="6"/>
        <v>3.125E-2</v>
      </c>
      <c r="J29">
        <f t="shared" si="6"/>
        <v>3.125E-2</v>
      </c>
      <c r="K29">
        <f t="shared" si="6"/>
        <v>3.125E-2</v>
      </c>
      <c r="L29">
        <f t="shared" si="6"/>
        <v>3.125E-2</v>
      </c>
      <c r="M29">
        <f>horas_2+min_15</f>
        <v>0.28125</v>
      </c>
      <c r="N29">
        <f t="shared" si="7"/>
        <v>3.125E-2</v>
      </c>
      <c r="O29">
        <f t="shared" si="7"/>
        <v>3.125E-2</v>
      </c>
      <c r="P29">
        <f t="shared" si="7"/>
        <v>3.125E-2</v>
      </c>
      <c r="Q29">
        <f t="shared" si="7"/>
        <v>3.125E-2</v>
      </c>
      <c r="R29">
        <f>horas_2+min_15</f>
        <v>0.28125</v>
      </c>
      <c r="S29">
        <f t="shared" si="8"/>
        <v>3.125E-2</v>
      </c>
      <c r="T29">
        <f t="shared" si="8"/>
        <v>3.125E-2</v>
      </c>
      <c r="U29">
        <f t="shared" si="8"/>
        <v>3.125E-2</v>
      </c>
      <c r="V29">
        <f>horas_2+min_15</f>
        <v>0.28125</v>
      </c>
      <c r="W29">
        <f t="shared" si="9"/>
        <v>3.125E-2</v>
      </c>
      <c r="X29">
        <f t="shared" si="9"/>
        <v>3.125E-2</v>
      </c>
      <c r="Y29">
        <f t="shared" si="9"/>
        <v>3.125E-2</v>
      </c>
      <c r="Z29">
        <f t="shared" si="9"/>
        <v>3.125E-2</v>
      </c>
      <c r="AA29" s="137">
        <f>min_15</f>
        <v>3.125E-2</v>
      </c>
      <c r="AB29">
        <f t="shared" si="10"/>
        <v>3.125E-2</v>
      </c>
      <c r="AC29">
        <f t="shared" si="10"/>
        <v>3.125E-2</v>
      </c>
      <c r="AD29">
        <f t="shared" si="10"/>
        <v>3.125E-2</v>
      </c>
      <c r="AE29">
        <f t="shared" si="10"/>
        <v>3.125E-2</v>
      </c>
      <c r="AF29" s="137">
        <f>min_15</f>
        <v>3.125E-2</v>
      </c>
      <c r="AG29" s="137">
        <f t="shared" si="11"/>
        <v>3.125E-2</v>
      </c>
      <c r="AH29" s="137">
        <f t="shared" si="11"/>
        <v>3.125E-2</v>
      </c>
      <c r="AI29" s="137">
        <f t="shared" si="11"/>
        <v>3.125E-2</v>
      </c>
      <c r="AJ29" s="137">
        <f t="shared" si="11"/>
        <v>3.125E-2</v>
      </c>
      <c r="AL29" s="137">
        <f t="shared" si="12"/>
        <v>3.125E-2</v>
      </c>
      <c r="AM29" s="137">
        <f t="shared" si="12"/>
        <v>3.125E-2</v>
      </c>
      <c r="AN29" s="137">
        <f t="shared" si="12"/>
        <v>3.125E-2</v>
      </c>
      <c r="AP29" s="137">
        <f t="shared" si="13"/>
        <v>3.125E-2</v>
      </c>
      <c r="AQ29" s="137">
        <f t="shared" si="13"/>
        <v>3.125E-2</v>
      </c>
      <c r="AR29" s="137">
        <f t="shared" si="13"/>
        <v>3.125E-2</v>
      </c>
      <c r="AS29" s="137">
        <f t="shared" si="13"/>
        <v>3.125E-2</v>
      </c>
      <c r="AU29" s="137">
        <f t="shared" si="14"/>
        <v>3.125E-2</v>
      </c>
      <c r="AV29" s="137">
        <f t="shared" si="14"/>
        <v>3.125E-2</v>
      </c>
      <c r="AW29" s="137">
        <f t="shared" si="14"/>
        <v>3.125E-2</v>
      </c>
      <c r="AX29" s="137">
        <f t="shared" si="14"/>
        <v>3.125E-2</v>
      </c>
      <c r="AZ29" s="137">
        <f t="shared" ref="AZ29:BC30" si="28">min_15</f>
        <v>3.125E-2</v>
      </c>
      <c r="BA29" s="137">
        <f t="shared" si="28"/>
        <v>3.125E-2</v>
      </c>
      <c r="BB29" s="228" t="s">
        <v>386</v>
      </c>
      <c r="BC29" s="229"/>
      <c r="BD29" s="229"/>
      <c r="BE29" s="229"/>
      <c r="BF29" s="229"/>
      <c r="BG29" s="137">
        <f t="shared" ref="BE29:BH30" si="29">min_15</f>
        <v>3.125E-2</v>
      </c>
      <c r="BH29" s="137">
        <f t="shared" si="29"/>
        <v>3.125E-2</v>
      </c>
      <c r="BI29">
        <f>horas_2+min_15</f>
        <v>0.28125</v>
      </c>
      <c r="BJ29" s="137">
        <f t="shared" ref="BJ29:BN30" si="30">min_15</f>
        <v>3.125E-2</v>
      </c>
      <c r="BK29" s="137">
        <f t="shared" si="30"/>
        <v>3.125E-2</v>
      </c>
      <c r="BL29" s="137">
        <f t="shared" si="30"/>
        <v>3.125E-2</v>
      </c>
      <c r="BM29" s="137">
        <f t="shared" si="30"/>
        <v>3.125E-2</v>
      </c>
      <c r="BN29" s="137">
        <f t="shared" si="30"/>
        <v>3.125E-2</v>
      </c>
      <c r="BO29">
        <f>horas_2+min_15</f>
        <v>0.28125</v>
      </c>
      <c r="BP29" s="137">
        <f>min_15</f>
        <v>3.125E-2</v>
      </c>
      <c r="BQ29" s="180">
        <f>horas_2+min_15</f>
        <v>0.28125</v>
      </c>
      <c r="BR29" s="137">
        <f>min_15</f>
        <v>3.125E-2</v>
      </c>
      <c r="BS29">
        <f>horas_2+min_15</f>
        <v>0.28125</v>
      </c>
      <c r="BT29" s="137">
        <f t="shared" si="17"/>
        <v>3.125E-2</v>
      </c>
      <c r="BU29" s="137">
        <f t="shared" si="17"/>
        <v>3.125E-2</v>
      </c>
      <c r="BV29" s="137">
        <f t="shared" si="17"/>
        <v>3.125E-2</v>
      </c>
      <c r="BW29" s="137">
        <f t="shared" si="17"/>
        <v>3.125E-2</v>
      </c>
      <c r="BX29">
        <f>horas_2+min_15</f>
        <v>0.28125</v>
      </c>
      <c r="BY29" s="137">
        <f t="shared" si="18"/>
        <v>3.125E-2</v>
      </c>
      <c r="BZ29" s="137">
        <f t="shared" si="18"/>
        <v>3.125E-2</v>
      </c>
      <c r="CA29" s="137">
        <f t="shared" si="18"/>
        <v>3.125E-2</v>
      </c>
      <c r="CB29" s="137">
        <f t="shared" si="18"/>
        <v>3.125E-2</v>
      </c>
      <c r="CC29">
        <f>horas_2+min_15</f>
        <v>0.28125</v>
      </c>
      <c r="CD29" s="137">
        <f t="shared" si="19"/>
        <v>3.125E-2</v>
      </c>
      <c r="CE29" s="137">
        <f t="shared" si="19"/>
        <v>3.125E-2</v>
      </c>
      <c r="CF29" s="137">
        <f t="shared" si="19"/>
        <v>3.125E-2</v>
      </c>
      <c r="CG29" s="137">
        <f t="shared" si="19"/>
        <v>3.125E-2</v>
      </c>
      <c r="CH29">
        <f>horas_2+min_15</f>
        <v>0.28125</v>
      </c>
      <c r="CI29" s="137">
        <f t="shared" si="20"/>
        <v>3.125E-2</v>
      </c>
      <c r="CJ29" s="137">
        <f t="shared" si="20"/>
        <v>3.125E-2</v>
      </c>
      <c r="CK29" s="137">
        <f t="shared" si="20"/>
        <v>3.125E-2</v>
      </c>
      <c r="CL29" s="137">
        <f t="shared" si="20"/>
        <v>3.125E-2</v>
      </c>
      <c r="CM29">
        <f>horas_2+min_15</f>
        <v>0.28125</v>
      </c>
      <c r="CN29" s="137">
        <f t="shared" si="21"/>
        <v>3.125E-2</v>
      </c>
      <c r="CO29" s="137">
        <f t="shared" si="21"/>
        <v>3.125E-2</v>
      </c>
      <c r="CP29" s="137">
        <f t="shared" si="21"/>
        <v>3.125E-2</v>
      </c>
      <c r="CQ29" s="137">
        <f t="shared" si="21"/>
        <v>3.125E-2</v>
      </c>
      <c r="CR29">
        <f>horas_2+min_15</f>
        <v>0.28125</v>
      </c>
      <c r="CS29" s="137">
        <f t="shared" si="22"/>
        <v>3.125E-2</v>
      </c>
      <c r="CT29" s="137">
        <f t="shared" si="22"/>
        <v>3.125E-2</v>
      </c>
      <c r="CU29" s="137">
        <f t="shared" si="22"/>
        <v>3.125E-2</v>
      </c>
      <c r="CV29">
        <f>horas_2+min_15</f>
        <v>0.28125</v>
      </c>
      <c r="CW29" s="137">
        <f t="shared" si="23"/>
        <v>3.125E-2</v>
      </c>
      <c r="CX29" s="137">
        <f t="shared" si="23"/>
        <v>3.125E-2</v>
      </c>
      <c r="CY29" s="137">
        <f t="shared" si="23"/>
        <v>3.125E-2</v>
      </c>
      <c r="CZ29" s="137">
        <f t="shared" si="23"/>
        <v>3.125E-2</v>
      </c>
      <c r="DA29" s="137">
        <f t="shared" si="23"/>
        <v>3.125E-2</v>
      </c>
      <c r="DB29">
        <f>horas_2+min_15</f>
        <v>0.28125</v>
      </c>
      <c r="DC29" s="137">
        <f t="shared" si="24"/>
        <v>3.125E-2</v>
      </c>
      <c r="DD29" s="137">
        <f t="shared" si="24"/>
        <v>3.125E-2</v>
      </c>
      <c r="DE29" s="137">
        <f t="shared" si="24"/>
        <v>3.125E-2</v>
      </c>
      <c r="DF29" s="137">
        <f t="shared" si="24"/>
        <v>3.125E-2</v>
      </c>
      <c r="DG29" s="137">
        <f t="shared" si="24"/>
        <v>3.125E-2</v>
      </c>
      <c r="DH29">
        <f>horas_2+min_15</f>
        <v>0.28125</v>
      </c>
      <c r="DI29" s="137">
        <f t="shared" si="25"/>
        <v>3.125E-2</v>
      </c>
      <c r="DJ29" s="137">
        <f t="shared" si="25"/>
        <v>3.125E-2</v>
      </c>
      <c r="DK29" s="137">
        <f t="shared" si="25"/>
        <v>3.125E-2</v>
      </c>
      <c r="DL29">
        <f>horas_2+min_15</f>
        <v>0.28125</v>
      </c>
      <c r="DM29" s="137">
        <f t="shared" si="26"/>
        <v>3.125E-2</v>
      </c>
      <c r="DN29" s="137">
        <f t="shared" si="26"/>
        <v>3.125E-2</v>
      </c>
      <c r="DO29" s="137">
        <f t="shared" si="26"/>
        <v>3.125E-2</v>
      </c>
      <c r="DP29" s="137">
        <f t="shared" si="26"/>
        <v>3.125E-2</v>
      </c>
      <c r="DQ29">
        <f>horas_2+min_15</f>
        <v>0.28125</v>
      </c>
      <c r="DR29" s="137">
        <f t="shared" si="27"/>
        <v>3.125E-2</v>
      </c>
      <c r="DS29" s="137">
        <f t="shared" si="27"/>
        <v>3.125E-2</v>
      </c>
      <c r="DT29" s="137">
        <f t="shared" si="27"/>
        <v>3.125E-2</v>
      </c>
      <c r="DU29" s="137">
        <f t="shared" si="27"/>
        <v>3.125E-2</v>
      </c>
      <c r="DV29" s="137">
        <f t="shared" si="27"/>
        <v>3.125E-2</v>
      </c>
      <c r="DW29">
        <f>horas_2+min_15</f>
        <v>0.28125</v>
      </c>
      <c r="DX29" s="137">
        <f>min_15</f>
        <v>3.125E-2</v>
      </c>
    </row>
    <row r="30" spans="1:132" outlineLevel="1" x14ac:dyDescent="0.3">
      <c r="A30" s="137" t="s">
        <v>326</v>
      </c>
      <c r="B30" s="178">
        <f t="shared" si="4"/>
        <v>10.40625</v>
      </c>
      <c r="C30" s="137">
        <f t="shared" si="5"/>
        <v>0.28125</v>
      </c>
      <c r="D30" s="137">
        <f t="shared" si="5"/>
        <v>0.28125</v>
      </c>
      <c r="E30" s="137">
        <f t="shared" si="5"/>
        <v>0.28125</v>
      </c>
      <c r="F30" s="137">
        <f>min_15</f>
        <v>3.125E-2</v>
      </c>
      <c r="G30" s="137">
        <f>horas_2+min_15</f>
        <v>0.28125</v>
      </c>
      <c r="H30" s="137">
        <f t="shared" si="6"/>
        <v>3.125E-2</v>
      </c>
      <c r="I30" s="137">
        <f t="shared" si="6"/>
        <v>3.125E-2</v>
      </c>
      <c r="J30" s="137">
        <f t="shared" si="6"/>
        <v>3.125E-2</v>
      </c>
      <c r="K30" s="137">
        <f t="shared" si="6"/>
        <v>3.125E-2</v>
      </c>
      <c r="L30" s="137">
        <f t="shared" si="6"/>
        <v>3.125E-2</v>
      </c>
      <c r="M30" s="137">
        <f>horas_2+min_15</f>
        <v>0.28125</v>
      </c>
      <c r="N30" s="137">
        <f t="shared" si="7"/>
        <v>3.125E-2</v>
      </c>
      <c r="O30" s="137">
        <f t="shared" si="7"/>
        <v>3.125E-2</v>
      </c>
      <c r="P30" s="137">
        <f t="shared" si="7"/>
        <v>3.125E-2</v>
      </c>
      <c r="Q30" s="137">
        <f t="shared" si="7"/>
        <v>3.125E-2</v>
      </c>
      <c r="R30" s="137">
        <f>horas_2+min_15</f>
        <v>0.28125</v>
      </c>
      <c r="S30" s="137">
        <f t="shared" si="8"/>
        <v>3.125E-2</v>
      </c>
      <c r="T30" s="137">
        <f t="shared" si="8"/>
        <v>3.125E-2</v>
      </c>
      <c r="U30" s="137">
        <f t="shared" si="8"/>
        <v>3.125E-2</v>
      </c>
      <c r="V30" s="137">
        <f>horas_2+min_15</f>
        <v>0.28125</v>
      </c>
      <c r="W30" s="137">
        <f t="shared" si="9"/>
        <v>3.125E-2</v>
      </c>
      <c r="X30" s="137">
        <f t="shared" si="9"/>
        <v>3.125E-2</v>
      </c>
      <c r="Y30" s="137">
        <f t="shared" si="9"/>
        <v>3.125E-2</v>
      </c>
      <c r="Z30" s="137">
        <f t="shared" si="9"/>
        <v>3.125E-2</v>
      </c>
      <c r="AA30" s="137">
        <f>horas_2+min_15</f>
        <v>0.28125</v>
      </c>
      <c r="AB30" s="137">
        <f t="shared" si="10"/>
        <v>3.125E-2</v>
      </c>
      <c r="AC30" s="137">
        <f t="shared" si="10"/>
        <v>3.125E-2</v>
      </c>
      <c r="AD30" s="137">
        <f t="shared" si="10"/>
        <v>3.125E-2</v>
      </c>
      <c r="AE30" s="137">
        <f t="shared" si="10"/>
        <v>3.125E-2</v>
      </c>
      <c r="AF30" s="137">
        <f>horas_2+min_15</f>
        <v>0.28125</v>
      </c>
      <c r="AG30" s="137">
        <f t="shared" si="11"/>
        <v>3.125E-2</v>
      </c>
      <c r="AH30" s="137">
        <f t="shared" si="11"/>
        <v>3.125E-2</v>
      </c>
      <c r="AI30" s="137">
        <f t="shared" si="11"/>
        <v>3.125E-2</v>
      </c>
      <c r="AJ30" s="137">
        <f t="shared" si="11"/>
        <v>3.125E-2</v>
      </c>
      <c r="AK30" s="137">
        <f>horas_2+min_15</f>
        <v>0.28125</v>
      </c>
      <c r="AL30" s="137">
        <f t="shared" si="12"/>
        <v>3.125E-2</v>
      </c>
      <c r="AM30" s="137">
        <f t="shared" si="12"/>
        <v>3.125E-2</v>
      </c>
      <c r="AN30" s="137">
        <f t="shared" si="12"/>
        <v>3.125E-2</v>
      </c>
      <c r="AO30" s="137">
        <f>horas_2+min_15</f>
        <v>0.28125</v>
      </c>
      <c r="AP30" s="137">
        <f t="shared" si="13"/>
        <v>3.125E-2</v>
      </c>
      <c r="AQ30" s="137">
        <f t="shared" si="13"/>
        <v>3.125E-2</v>
      </c>
      <c r="AR30" s="137">
        <f t="shared" si="13"/>
        <v>3.125E-2</v>
      </c>
      <c r="AS30" s="137">
        <f t="shared" si="13"/>
        <v>3.125E-2</v>
      </c>
      <c r="AT30" s="137">
        <f>horas_2+min_15</f>
        <v>0.28125</v>
      </c>
      <c r="AU30" s="137">
        <f t="shared" si="14"/>
        <v>3.125E-2</v>
      </c>
      <c r="AV30" s="137">
        <f t="shared" si="14"/>
        <v>3.125E-2</v>
      </c>
      <c r="AW30" s="137">
        <f t="shared" si="14"/>
        <v>3.125E-2</v>
      </c>
      <c r="AX30" s="137">
        <f t="shared" si="14"/>
        <v>3.125E-2</v>
      </c>
      <c r="AY30" s="137">
        <f>horas_2+min_15</f>
        <v>0.28125</v>
      </c>
      <c r="AZ30" s="137">
        <f t="shared" si="28"/>
        <v>3.125E-2</v>
      </c>
      <c r="BA30" s="137">
        <f t="shared" si="28"/>
        <v>3.125E-2</v>
      </c>
      <c r="BB30" s="137">
        <f t="shared" si="28"/>
        <v>3.125E-2</v>
      </c>
      <c r="BC30" s="137">
        <f t="shared" si="28"/>
        <v>3.125E-2</v>
      </c>
      <c r="BD30" s="137">
        <f>min_15</f>
        <v>3.125E-2</v>
      </c>
      <c r="BE30" s="137">
        <f t="shared" si="29"/>
        <v>3.125E-2</v>
      </c>
      <c r="BF30" s="137">
        <f t="shared" si="29"/>
        <v>3.125E-2</v>
      </c>
      <c r="BG30" s="137">
        <f t="shared" si="29"/>
        <v>3.125E-2</v>
      </c>
      <c r="BH30" s="137">
        <f t="shared" si="29"/>
        <v>3.125E-2</v>
      </c>
      <c r="BI30" s="137">
        <f>min_15</f>
        <v>3.125E-2</v>
      </c>
      <c r="BJ30" s="137">
        <f t="shared" si="30"/>
        <v>3.125E-2</v>
      </c>
      <c r="BK30" s="137">
        <f t="shared" si="30"/>
        <v>3.125E-2</v>
      </c>
      <c r="BL30" s="137">
        <f t="shared" si="30"/>
        <v>3.125E-2</v>
      </c>
      <c r="BM30" s="137">
        <f t="shared" si="30"/>
        <v>3.125E-2</v>
      </c>
      <c r="BN30" s="137">
        <f t="shared" si="30"/>
        <v>3.125E-2</v>
      </c>
      <c r="BO30" s="137">
        <f>min_15</f>
        <v>3.125E-2</v>
      </c>
      <c r="BP30" s="137">
        <f>min_15</f>
        <v>3.125E-2</v>
      </c>
      <c r="BQ30" s="179">
        <f>horas_2+min_15</f>
        <v>0.28125</v>
      </c>
      <c r="BR30" s="137">
        <f>min_15</f>
        <v>3.125E-2</v>
      </c>
      <c r="BS30" s="137">
        <f>horas_2+min_15</f>
        <v>0.28125</v>
      </c>
      <c r="BT30" s="137">
        <f t="shared" si="17"/>
        <v>3.125E-2</v>
      </c>
      <c r="BU30" s="137">
        <f t="shared" si="17"/>
        <v>3.125E-2</v>
      </c>
      <c r="BV30" s="137">
        <f t="shared" si="17"/>
        <v>3.125E-2</v>
      </c>
      <c r="BW30" s="137">
        <f t="shared" si="17"/>
        <v>3.125E-2</v>
      </c>
      <c r="BX30" s="137">
        <f>horas_2+min_15</f>
        <v>0.28125</v>
      </c>
      <c r="BY30" s="137">
        <f t="shared" si="18"/>
        <v>3.125E-2</v>
      </c>
      <c r="BZ30" s="137">
        <f t="shared" si="18"/>
        <v>3.125E-2</v>
      </c>
      <c r="CA30" s="137">
        <f t="shared" si="18"/>
        <v>3.125E-2</v>
      </c>
      <c r="CB30" s="137">
        <f t="shared" si="18"/>
        <v>3.125E-2</v>
      </c>
      <c r="CC30" s="137">
        <f>horas_2+min_15</f>
        <v>0.28125</v>
      </c>
      <c r="CD30" s="137">
        <f t="shared" si="19"/>
        <v>3.125E-2</v>
      </c>
      <c r="CE30" s="137">
        <f t="shared" si="19"/>
        <v>3.125E-2</v>
      </c>
      <c r="CF30" s="137">
        <f t="shared" si="19"/>
        <v>3.125E-2</v>
      </c>
      <c r="CG30" s="137">
        <f t="shared" si="19"/>
        <v>3.125E-2</v>
      </c>
      <c r="CH30" s="137">
        <f>horas_2+min_15</f>
        <v>0.28125</v>
      </c>
      <c r="CI30" s="137">
        <f t="shared" si="20"/>
        <v>3.125E-2</v>
      </c>
      <c r="CJ30" s="137">
        <f t="shared" si="20"/>
        <v>3.125E-2</v>
      </c>
      <c r="CK30" s="137">
        <f t="shared" si="20"/>
        <v>3.125E-2</v>
      </c>
      <c r="CL30" s="137">
        <f t="shared" si="20"/>
        <v>3.125E-2</v>
      </c>
      <c r="CM30" s="137">
        <f>horas_2+min_15</f>
        <v>0.28125</v>
      </c>
      <c r="CN30" s="137">
        <f t="shared" si="21"/>
        <v>3.125E-2</v>
      </c>
      <c r="CO30" s="137">
        <f t="shared" si="21"/>
        <v>3.125E-2</v>
      </c>
      <c r="CP30" s="137">
        <f t="shared" si="21"/>
        <v>3.125E-2</v>
      </c>
      <c r="CQ30" s="137">
        <f t="shared" si="21"/>
        <v>3.125E-2</v>
      </c>
      <c r="CR30" s="137">
        <f>horas_2+min_15</f>
        <v>0.28125</v>
      </c>
      <c r="CS30" s="137">
        <f t="shared" si="22"/>
        <v>3.125E-2</v>
      </c>
      <c r="CT30" s="137">
        <f t="shared" si="22"/>
        <v>3.125E-2</v>
      </c>
      <c r="CU30" s="137">
        <f t="shared" si="22"/>
        <v>3.125E-2</v>
      </c>
      <c r="CV30" s="137">
        <f>horas_2+min_15</f>
        <v>0.28125</v>
      </c>
      <c r="CW30" s="137">
        <f t="shared" si="23"/>
        <v>3.125E-2</v>
      </c>
      <c r="CX30" s="137">
        <f t="shared" si="23"/>
        <v>3.125E-2</v>
      </c>
      <c r="CY30" s="137">
        <f t="shared" si="23"/>
        <v>3.125E-2</v>
      </c>
      <c r="CZ30" s="137">
        <f t="shared" si="23"/>
        <v>3.125E-2</v>
      </c>
      <c r="DA30" s="137">
        <f t="shared" si="23"/>
        <v>3.125E-2</v>
      </c>
      <c r="DB30" s="137">
        <f>horas_2+min_15</f>
        <v>0.28125</v>
      </c>
      <c r="DC30" s="137">
        <f t="shared" si="24"/>
        <v>3.125E-2</v>
      </c>
      <c r="DD30" s="137">
        <f t="shared" si="24"/>
        <v>3.125E-2</v>
      </c>
      <c r="DE30" s="137">
        <f t="shared" si="24"/>
        <v>3.125E-2</v>
      </c>
      <c r="DF30" s="137">
        <f t="shared" si="24"/>
        <v>3.125E-2</v>
      </c>
      <c r="DG30" s="137">
        <f t="shared" si="24"/>
        <v>3.125E-2</v>
      </c>
      <c r="DH30" s="137">
        <f>horas_2+min_15</f>
        <v>0.28125</v>
      </c>
      <c r="DI30" s="137">
        <f t="shared" si="25"/>
        <v>3.125E-2</v>
      </c>
      <c r="DJ30" s="137">
        <f t="shared" si="25"/>
        <v>3.125E-2</v>
      </c>
      <c r="DK30" s="137">
        <f t="shared" si="25"/>
        <v>3.125E-2</v>
      </c>
      <c r="DL30" s="137">
        <f>horas_2+min_15</f>
        <v>0.28125</v>
      </c>
      <c r="DM30" s="137">
        <f t="shared" si="26"/>
        <v>3.125E-2</v>
      </c>
      <c r="DN30" s="137">
        <f t="shared" si="26"/>
        <v>3.125E-2</v>
      </c>
      <c r="DO30" s="137">
        <f t="shared" si="26"/>
        <v>3.125E-2</v>
      </c>
      <c r="DP30" s="137">
        <f t="shared" si="26"/>
        <v>3.125E-2</v>
      </c>
      <c r="DQ30" s="137">
        <f>horas_2+min_15</f>
        <v>0.28125</v>
      </c>
      <c r="DR30" s="137">
        <f t="shared" si="27"/>
        <v>3.125E-2</v>
      </c>
      <c r="DS30" s="137">
        <f t="shared" si="27"/>
        <v>3.125E-2</v>
      </c>
      <c r="DT30" s="137">
        <f t="shared" si="27"/>
        <v>3.125E-2</v>
      </c>
      <c r="DU30" s="137">
        <f t="shared" si="27"/>
        <v>3.125E-2</v>
      </c>
      <c r="DV30" s="137">
        <f t="shared" si="27"/>
        <v>3.125E-2</v>
      </c>
      <c r="DW30" s="137">
        <f>horas_2+min_15</f>
        <v>0.28125</v>
      </c>
      <c r="DX30" s="137">
        <f>min_15</f>
        <v>3.125E-2</v>
      </c>
    </row>
    <row r="31" spans="1:132" x14ac:dyDescent="0.3">
      <c r="A31" s="176" t="s">
        <v>299</v>
      </c>
      <c r="B31" s="176"/>
    </row>
    <row r="32" spans="1:132" outlineLevel="1" x14ac:dyDescent="0.3">
      <c r="A32" s="170"/>
      <c r="B32" s="170"/>
    </row>
    <row r="33" spans="1:8" outlineLevel="1" x14ac:dyDescent="0.3">
      <c r="A33" s="170" t="s">
        <v>302</v>
      </c>
      <c r="B33" s="170"/>
      <c r="C33" s="137" t="s">
        <v>303</v>
      </c>
      <c r="D33" s="137" t="s">
        <v>304</v>
      </c>
      <c r="E33" s="137" t="s">
        <v>305</v>
      </c>
      <c r="F33" s="137" t="s">
        <v>306</v>
      </c>
      <c r="G33" s="137" t="s">
        <v>307</v>
      </c>
      <c r="H33" s="137" t="s">
        <v>308</v>
      </c>
    </row>
    <row r="34" spans="1:8" outlineLevel="1" x14ac:dyDescent="0.3">
      <c r="A34" s="170"/>
      <c r="B34" s="170"/>
      <c r="C34" s="173">
        <v>0.16</v>
      </c>
      <c r="D34" s="173">
        <v>0.32</v>
      </c>
      <c r="E34" s="173">
        <v>0.48</v>
      </c>
      <c r="F34" s="173">
        <v>0.64</v>
      </c>
      <c r="G34" s="173">
        <v>0.8</v>
      </c>
      <c r="H34" s="173">
        <v>1</v>
      </c>
    </row>
    <row r="35" spans="1:8" outlineLevel="1" x14ac:dyDescent="0.3">
      <c r="A35" s="170"/>
      <c r="B35" s="170"/>
      <c r="C35" s="173">
        <v>0.16</v>
      </c>
      <c r="D35" s="173">
        <v>0.16</v>
      </c>
      <c r="E35" s="173">
        <v>0.16</v>
      </c>
      <c r="F35" s="173">
        <v>0.16</v>
      </c>
      <c r="G35" s="173">
        <v>0.16</v>
      </c>
      <c r="H35" s="173">
        <f>H34-G34</f>
        <v>0.19999999999999996</v>
      </c>
    </row>
    <row r="36" spans="1:8" outlineLevel="1" x14ac:dyDescent="0.3">
      <c r="A36" s="170"/>
      <c r="B36" s="170"/>
    </row>
    <row r="37" spans="1:8" outlineLevel="1" x14ac:dyDescent="0.3">
      <c r="A37" s="170"/>
      <c r="B37" s="170"/>
    </row>
    <row r="38" spans="1:8" outlineLevel="1" x14ac:dyDescent="0.3">
      <c r="A38" s="170"/>
      <c r="B38" s="170"/>
    </row>
    <row r="39" spans="1:8" outlineLevel="1" x14ac:dyDescent="0.3">
      <c r="A39" s="170"/>
      <c r="B39" s="170"/>
    </row>
    <row r="40" spans="1:8" outlineLevel="1" x14ac:dyDescent="0.3">
      <c r="A40" s="170"/>
      <c r="B40" s="170"/>
    </row>
    <row r="41" spans="1:8" outlineLevel="1" x14ac:dyDescent="0.3">
      <c r="A41" s="170"/>
      <c r="B41" s="170"/>
    </row>
    <row r="42" spans="1:8" outlineLevel="1" x14ac:dyDescent="0.3">
      <c r="A42" s="170"/>
      <c r="B42" s="170"/>
    </row>
    <row r="43" spans="1:8" outlineLevel="1" x14ac:dyDescent="0.3">
      <c r="A43" s="170"/>
      <c r="B43" s="170"/>
    </row>
    <row r="44" spans="1:8" outlineLevel="1" x14ac:dyDescent="0.3">
      <c r="A44" s="170"/>
      <c r="B44" s="170"/>
    </row>
    <row r="45" spans="1:8" outlineLevel="1" x14ac:dyDescent="0.3">
      <c r="A45" s="170"/>
      <c r="B45" s="170"/>
    </row>
    <row r="46" spans="1:8" outlineLevel="1" x14ac:dyDescent="0.3">
      <c r="A46" s="170"/>
      <c r="B46" s="170"/>
    </row>
    <row r="47" spans="1:8" outlineLevel="1" x14ac:dyDescent="0.3">
      <c r="A47" s="170"/>
      <c r="B47" s="170"/>
    </row>
    <row r="48" spans="1:8" outlineLevel="1" x14ac:dyDescent="0.3">
      <c r="A48" s="170"/>
      <c r="B48" s="170"/>
    </row>
    <row r="49" spans="1:2" outlineLevel="1" x14ac:dyDescent="0.3">
      <c r="A49" s="170"/>
      <c r="B49" s="170"/>
    </row>
    <row r="50" spans="1:2" outlineLevel="1" x14ac:dyDescent="0.3">
      <c r="A50" s="170"/>
      <c r="B50" s="170"/>
    </row>
    <row r="51" spans="1:2" outlineLevel="1" x14ac:dyDescent="0.3">
      <c r="A51" s="170"/>
      <c r="B51" s="170"/>
    </row>
    <row r="52" spans="1:2" x14ac:dyDescent="0.3">
      <c r="A52" s="181" t="s">
        <v>342</v>
      </c>
      <c r="B52" s="170"/>
    </row>
    <row r="53" spans="1:2" x14ac:dyDescent="0.3">
      <c r="A53" s="192" t="s">
        <v>382</v>
      </c>
      <c r="B53" s="194">
        <f>100000+200000</f>
        <v>300000</v>
      </c>
    </row>
    <row r="54" spans="1:2" x14ac:dyDescent="0.3">
      <c r="A54" s="170"/>
      <c r="B54" s="170"/>
    </row>
    <row r="55" spans="1:2" x14ac:dyDescent="0.3">
      <c r="A55" s="170"/>
      <c r="B55" s="170"/>
    </row>
    <row r="56" spans="1:2" x14ac:dyDescent="0.3">
      <c r="A56" s="170"/>
      <c r="B56" s="170"/>
    </row>
    <row r="57" spans="1:2" x14ac:dyDescent="0.3">
      <c r="A57" s="170"/>
      <c r="B57" s="170"/>
    </row>
    <row r="58" spans="1:2" x14ac:dyDescent="0.3">
      <c r="A58" s="170"/>
      <c r="B58" s="170"/>
    </row>
    <row r="59" spans="1:2" x14ac:dyDescent="0.3">
      <c r="A59" s="170"/>
      <c r="B59" s="170"/>
    </row>
    <row r="60" spans="1:2" x14ac:dyDescent="0.3">
      <c r="A60" s="170"/>
      <c r="B60" s="170"/>
    </row>
    <row r="61" spans="1:2" x14ac:dyDescent="0.3">
      <c r="A61" s="170"/>
      <c r="B61" s="170"/>
    </row>
    <row r="62" spans="1:2" x14ac:dyDescent="0.3">
      <c r="A62" s="170"/>
      <c r="B62" s="170"/>
    </row>
    <row r="63" spans="1:2" x14ac:dyDescent="0.3">
      <c r="A63" s="170"/>
      <c r="B63" s="170"/>
    </row>
    <row r="64" spans="1:2" x14ac:dyDescent="0.3">
      <c r="A64" s="170"/>
      <c r="B64" s="170"/>
    </row>
    <row r="65" spans="1:2" x14ac:dyDescent="0.3">
      <c r="A65" s="170"/>
      <c r="B65" s="170"/>
    </row>
    <row r="66" spans="1:2" x14ac:dyDescent="0.3">
      <c r="A66" s="170"/>
      <c r="B66" s="170"/>
    </row>
    <row r="67" spans="1:2" x14ac:dyDescent="0.3">
      <c r="A67" s="170"/>
      <c r="B67" s="170"/>
    </row>
    <row r="68" spans="1:2" x14ac:dyDescent="0.3">
      <c r="A68" s="170"/>
      <c r="B68" s="170"/>
    </row>
    <row r="69" spans="1:2" x14ac:dyDescent="0.3">
      <c r="A69" s="170"/>
      <c r="B69" s="170"/>
    </row>
    <row r="70" spans="1:2" x14ac:dyDescent="0.3">
      <c r="A70" s="170"/>
      <c r="B70" s="170"/>
    </row>
    <row r="71" spans="1:2" x14ac:dyDescent="0.3">
      <c r="A71" s="170"/>
      <c r="B71" s="170"/>
    </row>
    <row r="72" spans="1:2" x14ac:dyDescent="0.3">
      <c r="A72" s="170"/>
      <c r="B72" s="170"/>
    </row>
    <row r="73" spans="1:2" x14ac:dyDescent="0.3">
      <c r="A73" s="170"/>
      <c r="B73" s="170"/>
    </row>
    <row r="74" spans="1:2" x14ac:dyDescent="0.3">
      <c r="A74" s="170"/>
      <c r="B74" s="170"/>
    </row>
    <row r="75" spans="1:2" x14ac:dyDescent="0.3">
      <c r="A75" s="170"/>
      <c r="B75" s="170"/>
    </row>
    <row r="76" spans="1:2" x14ac:dyDescent="0.3">
      <c r="A76" s="170"/>
      <c r="B76" s="170"/>
    </row>
    <row r="77" spans="1:2" x14ac:dyDescent="0.3">
      <c r="A77" s="170"/>
      <c r="B77" s="170"/>
    </row>
    <row r="78" spans="1:2" x14ac:dyDescent="0.3">
      <c r="A78" s="170"/>
      <c r="B78" s="170"/>
    </row>
    <row r="79" spans="1:2" x14ac:dyDescent="0.3">
      <c r="A79" s="170"/>
      <c r="B79" s="170"/>
    </row>
    <row r="80" spans="1:2" x14ac:dyDescent="0.3">
      <c r="A80" s="170"/>
      <c r="B80" s="170"/>
    </row>
    <row r="81" spans="1:2" x14ac:dyDescent="0.3">
      <c r="A81" s="170"/>
      <c r="B81" s="170"/>
    </row>
    <row r="82" spans="1:2" x14ac:dyDescent="0.3">
      <c r="A82" s="170"/>
      <c r="B82" s="170"/>
    </row>
    <row r="83" spans="1:2" x14ac:dyDescent="0.3">
      <c r="A83" s="170"/>
      <c r="B83" s="170"/>
    </row>
    <row r="84" spans="1:2" x14ac:dyDescent="0.3">
      <c r="A84" s="170"/>
      <c r="B84" s="170"/>
    </row>
    <row r="85" spans="1:2" x14ac:dyDescent="0.3">
      <c r="A85" s="170"/>
      <c r="B85" s="170"/>
    </row>
    <row r="86" spans="1:2" x14ac:dyDescent="0.3">
      <c r="A86" s="170"/>
      <c r="B86" s="170"/>
    </row>
    <row r="87" spans="1:2" x14ac:dyDescent="0.3">
      <c r="A87" s="170"/>
      <c r="B87" s="170"/>
    </row>
    <row r="88" spans="1:2" x14ac:dyDescent="0.3">
      <c r="A88" s="170"/>
      <c r="B88" s="170"/>
    </row>
    <row r="89" spans="1:2" x14ac:dyDescent="0.3">
      <c r="A89" s="170"/>
      <c r="B89" s="170"/>
    </row>
    <row r="90" spans="1:2" x14ac:dyDescent="0.3">
      <c r="A90" s="170"/>
      <c r="B90" s="170"/>
    </row>
    <row r="91" spans="1:2" x14ac:dyDescent="0.3">
      <c r="A91" s="170"/>
      <c r="B91" s="170"/>
    </row>
    <row r="92" spans="1:2" x14ac:dyDescent="0.3">
      <c r="A92" s="170"/>
      <c r="B92" s="170"/>
    </row>
    <row r="93" spans="1:2" x14ac:dyDescent="0.3">
      <c r="A93" s="170"/>
      <c r="B93" s="170"/>
    </row>
    <row r="94" spans="1:2" x14ac:dyDescent="0.3">
      <c r="A94" s="170"/>
      <c r="B94" s="170"/>
    </row>
    <row r="95" spans="1:2" x14ac:dyDescent="0.3">
      <c r="A95" s="170"/>
      <c r="B95" s="170"/>
    </row>
    <row r="96" spans="1:2" x14ac:dyDescent="0.3">
      <c r="A96" s="170"/>
      <c r="B96" s="170"/>
    </row>
    <row r="97" spans="1:2" x14ac:dyDescent="0.3">
      <c r="A97" s="170"/>
      <c r="B97" s="170"/>
    </row>
    <row r="98" spans="1:2" x14ac:dyDescent="0.3">
      <c r="A98" s="170"/>
      <c r="B98" s="170"/>
    </row>
    <row r="99" spans="1:2" x14ac:dyDescent="0.3">
      <c r="A99" s="170"/>
      <c r="B99" s="170"/>
    </row>
    <row r="100" spans="1:2" x14ac:dyDescent="0.3">
      <c r="A100" s="170"/>
      <c r="B100" s="170"/>
    </row>
    <row r="101" spans="1:2" x14ac:dyDescent="0.3">
      <c r="A101" s="170"/>
      <c r="B101" s="170"/>
    </row>
    <row r="102" spans="1:2" x14ac:dyDescent="0.3">
      <c r="A102" s="170"/>
      <c r="B102" s="170"/>
    </row>
    <row r="103" spans="1:2" x14ac:dyDescent="0.3">
      <c r="A103" s="170"/>
      <c r="B103" s="170"/>
    </row>
    <row r="104" spans="1:2" x14ac:dyDescent="0.3">
      <c r="A104" s="170"/>
      <c r="B104" s="170"/>
    </row>
    <row r="105" spans="1:2" x14ac:dyDescent="0.3">
      <c r="A105" s="170"/>
      <c r="B105" s="170"/>
    </row>
    <row r="106" spans="1:2" x14ac:dyDescent="0.3">
      <c r="A106" s="170"/>
      <c r="B106" s="170"/>
    </row>
    <row r="107" spans="1:2" x14ac:dyDescent="0.3">
      <c r="A107" s="170"/>
      <c r="B107" s="170"/>
    </row>
    <row r="108" spans="1:2" x14ac:dyDescent="0.3">
      <c r="A108" s="170"/>
      <c r="B108" s="170"/>
    </row>
    <row r="109" spans="1:2" x14ac:dyDescent="0.3">
      <c r="A109" s="170"/>
      <c r="B109" s="170"/>
    </row>
    <row r="110" spans="1:2" x14ac:dyDescent="0.3">
      <c r="A110" s="170"/>
      <c r="B110" s="170"/>
    </row>
    <row r="111" spans="1:2" x14ac:dyDescent="0.3">
      <c r="A111" s="170"/>
      <c r="B111" s="170"/>
    </row>
    <row r="112" spans="1:2" x14ac:dyDescent="0.3">
      <c r="A112" s="170"/>
      <c r="B112" s="170"/>
    </row>
    <row r="113" spans="1:2" x14ac:dyDescent="0.3">
      <c r="A113" s="170"/>
      <c r="B113" s="170"/>
    </row>
    <row r="114" spans="1:2" x14ac:dyDescent="0.3">
      <c r="A114" s="170"/>
      <c r="B114" s="170"/>
    </row>
    <row r="115" spans="1:2" x14ac:dyDescent="0.3">
      <c r="A115" s="170"/>
      <c r="B115" s="170"/>
    </row>
    <row r="116" spans="1:2" x14ac:dyDescent="0.3">
      <c r="A116" s="170"/>
      <c r="B116" s="170"/>
    </row>
    <row r="117" spans="1:2" x14ac:dyDescent="0.3">
      <c r="A117" s="170"/>
      <c r="B117" s="170"/>
    </row>
    <row r="118" spans="1:2" x14ac:dyDescent="0.3">
      <c r="A118" s="170"/>
      <c r="B118" s="170"/>
    </row>
    <row r="119" spans="1:2" x14ac:dyDescent="0.3">
      <c r="A119" s="170"/>
      <c r="B119" s="170"/>
    </row>
    <row r="120" spans="1:2" x14ac:dyDescent="0.3">
      <c r="A120" s="170"/>
      <c r="B120" s="170"/>
    </row>
    <row r="121" spans="1:2" x14ac:dyDescent="0.3">
      <c r="A121" s="170"/>
      <c r="B121" s="170"/>
    </row>
    <row r="122" spans="1:2" x14ac:dyDescent="0.3">
      <c r="A122" s="170"/>
      <c r="B122" s="170"/>
    </row>
    <row r="123" spans="1:2" x14ac:dyDescent="0.3">
      <c r="A123" s="170"/>
      <c r="B123" s="170"/>
    </row>
    <row r="124" spans="1:2" x14ac:dyDescent="0.3">
      <c r="A124" s="170"/>
      <c r="B124" s="170"/>
    </row>
    <row r="125" spans="1:2" x14ac:dyDescent="0.3">
      <c r="A125" s="170"/>
      <c r="B125" s="170"/>
    </row>
    <row r="126" spans="1:2" x14ac:dyDescent="0.3">
      <c r="A126" s="170"/>
      <c r="B126" s="170"/>
    </row>
    <row r="127" spans="1:2" x14ac:dyDescent="0.3">
      <c r="A127" s="170"/>
      <c r="B127" s="170"/>
    </row>
    <row r="128" spans="1:2" x14ac:dyDescent="0.3">
      <c r="A128" s="170"/>
      <c r="B128" s="170"/>
    </row>
    <row r="129" spans="1:2" x14ac:dyDescent="0.3">
      <c r="A129" s="170"/>
      <c r="B129" s="170"/>
    </row>
    <row r="130" spans="1:2" x14ac:dyDescent="0.3">
      <c r="A130" s="170"/>
      <c r="B130" s="170"/>
    </row>
    <row r="131" spans="1:2" x14ac:dyDescent="0.3">
      <c r="A131" s="170"/>
      <c r="B131" s="170"/>
    </row>
    <row r="132" spans="1:2" x14ac:dyDescent="0.3">
      <c r="A132" s="170"/>
      <c r="B132" s="170"/>
    </row>
    <row r="133" spans="1:2" x14ac:dyDescent="0.3">
      <c r="A133" s="170"/>
      <c r="B133" s="170"/>
    </row>
    <row r="134" spans="1:2" x14ac:dyDescent="0.3">
      <c r="A134" s="170"/>
      <c r="B134" s="170"/>
    </row>
    <row r="135" spans="1:2" x14ac:dyDescent="0.3">
      <c r="A135" s="170"/>
      <c r="B135" s="170"/>
    </row>
    <row r="136" spans="1:2" x14ac:dyDescent="0.3">
      <c r="A136" s="170"/>
      <c r="B136" s="170"/>
    </row>
    <row r="137" spans="1:2" x14ac:dyDescent="0.3">
      <c r="A137" s="170"/>
      <c r="B137" s="170"/>
    </row>
    <row r="138" spans="1:2" x14ac:dyDescent="0.3">
      <c r="A138" s="170"/>
      <c r="B138" s="170"/>
    </row>
    <row r="139" spans="1:2" x14ac:dyDescent="0.3">
      <c r="A139" s="170"/>
      <c r="B139" s="170"/>
    </row>
    <row r="140" spans="1:2" x14ac:dyDescent="0.3">
      <c r="A140" s="170"/>
      <c r="B140" s="170"/>
    </row>
    <row r="141" spans="1:2" x14ac:dyDescent="0.3">
      <c r="A141" s="170"/>
      <c r="B141" s="170"/>
    </row>
    <row r="142" spans="1:2" x14ac:dyDescent="0.3">
      <c r="A142" s="170"/>
      <c r="B142" s="170"/>
    </row>
    <row r="143" spans="1:2" x14ac:dyDescent="0.3">
      <c r="A143" s="170"/>
      <c r="B143" s="170"/>
    </row>
    <row r="144" spans="1:2" x14ac:dyDescent="0.3">
      <c r="A144" s="170"/>
      <c r="B144" s="170"/>
    </row>
    <row r="145" spans="1:2" x14ac:dyDescent="0.3">
      <c r="A145" s="170"/>
      <c r="B145" s="170"/>
    </row>
    <row r="146" spans="1:2" x14ac:dyDescent="0.3">
      <c r="A146" s="170"/>
      <c r="B146" s="170"/>
    </row>
    <row r="147" spans="1:2" x14ac:dyDescent="0.3">
      <c r="A147" s="170"/>
      <c r="B147" s="170"/>
    </row>
    <row r="148" spans="1:2" x14ac:dyDescent="0.3">
      <c r="A148" s="170"/>
      <c r="B148" s="170"/>
    </row>
    <row r="149" spans="1:2" x14ac:dyDescent="0.3">
      <c r="A149" s="170"/>
      <c r="B149" s="170"/>
    </row>
    <row r="150" spans="1:2" x14ac:dyDescent="0.3">
      <c r="A150" s="170"/>
      <c r="B150" s="170"/>
    </row>
    <row r="151" spans="1:2" x14ac:dyDescent="0.3">
      <c r="A151" s="170"/>
      <c r="B151" s="170"/>
    </row>
    <row r="152" spans="1:2" x14ac:dyDescent="0.3">
      <c r="A152" s="170"/>
      <c r="B152" s="170"/>
    </row>
    <row r="153" spans="1:2" x14ac:dyDescent="0.3">
      <c r="A153" s="170"/>
      <c r="B153" s="170"/>
    </row>
    <row r="154" spans="1:2" x14ac:dyDescent="0.3">
      <c r="A154" s="170"/>
      <c r="B154" s="170"/>
    </row>
    <row r="155" spans="1:2" x14ac:dyDescent="0.3">
      <c r="A155" s="170"/>
      <c r="B155" s="170"/>
    </row>
    <row r="156" spans="1:2" x14ac:dyDescent="0.3">
      <c r="A156" s="170"/>
      <c r="B156" s="170"/>
    </row>
    <row r="157" spans="1:2" x14ac:dyDescent="0.3">
      <c r="A157" s="170"/>
      <c r="B157" s="170"/>
    </row>
    <row r="158" spans="1:2" x14ac:dyDescent="0.3">
      <c r="A158" s="170"/>
      <c r="B158" s="170"/>
    </row>
    <row r="159" spans="1:2" x14ac:dyDescent="0.3">
      <c r="A159" s="170"/>
      <c r="B159" s="170"/>
    </row>
    <row r="160" spans="1:2" x14ac:dyDescent="0.3">
      <c r="A160" s="170"/>
      <c r="B160" s="170"/>
    </row>
    <row r="161" spans="1:2" x14ac:dyDescent="0.3">
      <c r="A161" s="170"/>
      <c r="B161" s="170"/>
    </row>
    <row r="162" spans="1:2" x14ac:dyDescent="0.3">
      <c r="A162" s="170"/>
      <c r="B162" s="170"/>
    </row>
    <row r="163" spans="1:2" x14ac:dyDescent="0.3">
      <c r="A163" s="170"/>
      <c r="B163" s="170"/>
    </row>
    <row r="164" spans="1:2" x14ac:dyDescent="0.3">
      <c r="A164" s="170"/>
      <c r="B164" s="170"/>
    </row>
    <row r="165" spans="1:2" x14ac:dyDescent="0.3">
      <c r="A165" s="170"/>
      <c r="B165" s="170"/>
    </row>
    <row r="166" spans="1:2" x14ac:dyDescent="0.3">
      <c r="A166" s="170"/>
      <c r="B166" s="170"/>
    </row>
    <row r="167" spans="1:2" x14ac:dyDescent="0.3">
      <c r="A167" s="170"/>
      <c r="B167" s="170"/>
    </row>
    <row r="168" spans="1:2" x14ac:dyDescent="0.3">
      <c r="A168" s="170"/>
      <c r="B168" s="170"/>
    </row>
    <row r="169" spans="1:2" x14ac:dyDescent="0.3">
      <c r="A169" s="170"/>
      <c r="B169" s="170"/>
    </row>
    <row r="170" spans="1:2" x14ac:dyDescent="0.3">
      <c r="A170" s="170"/>
      <c r="B170" s="170"/>
    </row>
    <row r="171" spans="1:2" x14ac:dyDescent="0.3">
      <c r="A171" s="170"/>
      <c r="B171" s="170"/>
    </row>
    <row r="172" spans="1:2" x14ac:dyDescent="0.3">
      <c r="A172" s="170"/>
      <c r="B172" s="170"/>
    </row>
    <row r="173" spans="1:2" x14ac:dyDescent="0.3">
      <c r="A173" s="170"/>
      <c r="B173" s="170"/>
    </row>
    <row r="174" spans="1:2" x14ac:dyDescent="0.3">
      <c r="A174" s="170"/>
      <c r="B174" s="170"/>
    </row>
    <row r="175" spans="1:2" x14ac:dyDescent="0.3">
      <c r="A175" s="170"/>
      <c r="B175" s="170"/>
    </row>
    <row r="176" spans="1:2" x14ac:dyDescent="0.3">
      <c r="A176" s="170"/>
      <c r="B176" s="170"/>
    </row>
    <row r="177" spans="1:2" x14ac:dyDescent="0.3">
      <c r="A177" s="170"/>
      <c r="B177" s="170"/>
    </row>
    <row r="178" spans="1:2" x14ac:dyDescent="0.3">
      <c r="A178" s="170"/>
      <c r="B178" s="170"/>
    </row>
    <row r="179" spans="1:2" x14ac:dyDescent="0.3">
      <c r="A179" s="170"/>
      <c r="B179" s="170"/>
    </row>
    <row r="180" spans="1:2" x14ac:dyDescent="0.3">
      <c r="A180" s="170"/>
      <c r="B180" s="170"/>
    </row>
    <row r="181" spans="1:2" x14ac:dyDescent="0.3">
      <c r="A181" s="170"/>
      <c r="B181" s="170"/>
    </row>
    <row r="182" spans="1:2" x14ac:dyDescent="0.3">
      <c r="A182" s="170"/>
      <c r="B182" s="170"/>
    </row>
    <row r="183" spans="1:2" x14ac:dyDescent="0.3">
      <c r="A183" s="170"/>
      <c r="B183" s="170"/>
    </row>
    <row r="184" spans="1:2" x14ac:dyDescent="0.3">
      <c r="A184" s="170"/>
      <c r="B184" s="170"/>
    </row>
    <row r="185" spans="1:2" x14ac:dyDescent="0.3">
      <c r="A185" s="170"/>
      <c r="B185" s="170"/>
    </row>
    <row r="186" spans="1:2" x14ac:dyDescent="0.3">
      <c r="A186" s="170"/>
      <c r="B186" s="170"/>
    </row>
    <row r="187" spans="1:2" x14ac:dyDescent="0.3">
      <c r="A187" s="170"/>
      <c r="B187" s="170"/>
    </row>
    <row r="188" spans="1:2" x14ac:dyDescent="0.3">
      <c r="A188" s="170"/>
      <c r="B188" s="170"/>
    </row>
    <row r="189" spans="1:2" x14ac:dyDescent="0.3">
      <c r="A189" s="170"/>
      <c r="B189" s="170"/>
    </row>
    <row r="190" spans="1:2" x14ac:dyDescent="0.3">
      <c r="A190" s="170"/>
      <c r="B190" s="170"/>
    </row>
    <row r="191" spans="1:2" x14ac:dyDescent="0.3">
      <c r="A191" s="170"/>
      <c r="B191" s="170"/>
    </row>
    <row r="192" spans="1:2" x14ac:dyDescent="0.3">
      <c r="A192" s="170"/>
      <c r="B192" s="170"/>
    </row>
    <row r="193" spans="1:2" x14ac:dyDescent="0.3">
      <c r="A193" s="170"/>
      <c r="B193" s="170"/>
    </row>
    <row r="194" spans="1:2" x14ac:dyDescent="0.3">
      <c r="A194" s="170"/>
      <c r="B194" s="170"/>
    </row>
    <row r="195" spans="1:2" x14ac:dyDescent="0.3">
      <c r="A195" s="170"/>
      <c r="B195" s="170"/>
    </row>
    <row r="196" spans="1:2" x14ac:dyDescent="0.3">
      <c r="A196" s="170"/>
      <c r="B196" s="170"/>
    </row>
    <row r="197" spans="1:2" x14ac:dyDescent="0.3">
      <c r="A197" s="170"/>
      <c r="B197" s="170"/>
    </row>
    <row r="198" spans="1:2" x14ac:dyDescent="0.3">
      <c r="A198" s="170"/>
      <c r="B198" s="170"/>
    </row>
    <row r="199" spans="1:2" x14ac:dyDescent="0.3">
      <c r="A199" s="170"/>
      <c r="B199" s="170"/>
    </row>
    <row r="200" spans="1:2" x14ac:dyDescent="0.3">
      <c r="A200" s="170"/>
      <c r="B200" s="170"/>
    </row>
    <row r="201" spans="1:2" x14ac:dyDescent="0.3">
      <c r="A201" s="170"/>
      <c r="B201" s="170"/>
    </row>
    <row r="202" spans="1:2" x14ac:dyDescent="0.3">
      <c r="A202" s="170"/>
      <c r="B202" s="170"/>
    </row>
    <row r="203" spans="1:2" x14ac:dyDescent="0.3">
      <c r="A203" s="170"/>
      <c r="B203" s="170"/>
    </row>
    <row r="204" spans="1:2" x14ac:dyDescent="0.3">
      <c r="A204" s="170"/>
      <c r="B204" s="170"/>
    </row>
    <row r="205" spans="1:2" x14ac:dyDescent="0.3">
      <c r="A205" s="170"/>
      <c r="B205" s="170"/>
    </row>
    <row r="206" spans="1:2" x14ac:dyDescent="0.3">
      <c r="A206" s="170"/>
      <c r="B206" s="170"/>
    </row>
    <row r="207" spans="1:2" x14ac:dyDescent="0.3">
      <c r="A207" s="170"/>
      <c r="B207" s="170"/>
    </row>
    <row r="208" spans="1:2" x14ac:dyDescent="0.3">
      <c r="A208" s="170"/>
      <c r="B208" s="170"/>
    </row>
    <row r="209" spans="1:2" x14ac:dyDescent="0.3">
      <c r="A209" s="170"/>
      <c r="B209" s="170"/>
    </row>
    <row r="210" spans="1:2" x14ac:dyDescent="0.3">
      <c r="A210" s="170"/>
      <c r="B210" s="170"/>
    </row>
    <row r="211" spans="1:2" x14ac:dyDescent="0.3">
      <c r="A211" s="170"/>
      <c r="B211" s="170"/>
    </row>
    <row r="212" spans="1:2" x14ac:dyDescent="0.3">
      <c r="A212" s="170"/>
      <c r="B212" s="170"/>
    </row>
    <row r="213" spans="1:2" x14ac:dyDescent="0.3">
      <c r="A213" s="170"/>
      <c r="B213" s="170"/>
    </row>
    <row r="214" spans="1:2" x14ac:dyDescent="0.3">
      <c r="A214" s="170"/>
      <c r="B214" s="170"/>
    </row>
    <row r="215" spans="1:2" x14ac:dyDescent="0.3">
      <c r="A215" s="170"/>
      <c r="B215" s="170"/>
    </row>
    <row r="216" spans="1:2" x14ac:dyDescent="0.3">
      <c r="A216" s="170"/>
      <c r="B216" s="170"/>
    </row>
    <row r="217" spans="1:2" x14ac:dyDescent="0.3">
      <c r="A217" s="170"/>
      <c r="B217" s="170"/>
    </row>
    <row r="218" spans="1:2" x14ac:dyDescent="0.3">
      <c r="A218" s="170"/>
      <c r="B218" s="170"/>
    </row>
    <row r="219" spans="1:2" x14ac:dyDescent="0.3">
      <c r="A219" s="170"/>
      <c r="B219" s="170"/>
    </row>
    <row r="220" spans="1:2" x14ac:dyDescent="0.3">
      <c r="A220" s="170"/>
      <c r="B220" s="170"/>
    </row>
    <row r="221" spans="1:2" x14ac:dyDescent="0.3">
      <c r="A221" s="170"/>
      <c r="B221" s="170"/>
    </row>
    <row r="222" spans="1:2" x14ac:dyDescent="0.3">
      <c r="A222" s="170"/>
      <c r="B222" s="170"/>
    </row>
    <row r="223" spans="1:2" x14ac:dyDescent="0.3">
      <c r="A223" s="170"/>
      <c r="B223" s="170"/>
    </row>
    <row r="224" spans="1:2" x14ac:dyDescent="0.3">
      <c r="A224" s="170"/>
      <c r="B224" s="170"/>
    </row>
    <row r="225" spans="1:2" x14ac:dyDescent="0.3">
      <c r="A225" s="170"/>
      <c r="B225" s="170"/>
    </row>
    <row r="226" spans="1:2" x14ac:dyDescent="0.3">
      <c r="A226" s="170"/>
      <c r="B226" s="170"/>
    </row>
    <row r="227" spans="1:2" x14ac:dyDescent="0.3">
      <c r="A227" s="170"/>
      <c r="B227" s="170"/>
    </row>
    <row r="228" spans="1:2" x14ac:dyDescent="0.3">
      <c r="A228" s="170"/>
      <c r="B228" s="170"/>
    </row>
    <row r="229" spans="1:2" x14ac:dyDescent="0.3">
      <c r="A229" s="170"/>
      <c r="B229" s="170"/>
    </row>
    <row r="230" spans="1:2" x14ac:dyDescent="0.3">
      <c r="A230" s="170"/>
      <c r="B230" s="170"/>
    </row>
    <row r="231" spans="1:2" x14ac:dyDescent="0.3">
      <c r="A231" s="170"/>
      <c r="B231" s="170"/>
    </row>
    <row r="232" spans="1:2" x14ac:dyDescent="0.3">
      <c r="A232" s="170"/>
      <c r="B232" s="170"/>
    </row>
    <row r="233" spans="1:2" x14ac:dyDescent="0.3">
      <c r="A233" s="170"/>
      <c r="B233" s="170"/>
    </row>
    <row r="234" spans="1:2" x14ac:dyDescent="0.3">
      <c r="A234" s="170"/>
      <c r="B234" s="170"/>
    </row>
    <row r="235" spans="1:2" x14ac:dyDescent="0.3">
      <c r="A235" s="170"/>
      <c r="B235" s="170"/>
    </row>
    <row r="236" spans="1:2" x14ac:dyDescent="0.3">
      <c r="A236" s="170"/>
      <c r="B236" s="170"/>
    </row>
    <row r="237" spans="1:2" x14ac:dyDescent="0.3">
      <c r="A237" s="170"/>
      <c r="B237" s="170"/>
    </row>
    <row r="238" spans="1:2" x14ac:dyDescent="0.3">
      <c r="A238" s="170"/>
      <c r="B238" s="170"/>
    </row>
    <row r="239" spans="1:2" x14ac:dyDescent="0.3">
      <c r="A239" s="170"/>
      <c r="B239" s="170"/>
    </row>
    <row r="240" spans="1:2" x14ac:dyDescent="0.3">
      <c r="A240" s="170"/>
      <c r="B240" s="170"/>
    </row>
    <row r="241" spans="1:2" x14ac:dyDescent="0.3">
      <c r="A241" s="170"/>
      <c r="B241" s="170"/>
    </row>
    <row r="242" spans="1:2" x14ac:dyDescent="0.3">
      <c r="A242" s="170"/>
      <c r="B242" s="170"/>
    </row>
    <row r="243" spans="1:2" x14ac:dyDescent="0.3">
      <c r="A243" s="170"/>
      <c r="B243" s="170"/>
    </row>
    <row r="244" spans="1:2" x14ac:dyDescent="0.3">
      <c r="A244" s="170"/>
      <c r="B244" s="170"/>
    </row>
    <row r="245" spans="1:2" x14ac:dyDescent="0.3">
      <c r="A245" s="170"/>
      <c r="B245" s="170"/>
    </row>
    <row r="246" spans="1:2" x14ac:dyDescent="0.3">
      <c r="A246" s="170"/>
      <c r="B246" s="170"/>
    </row>
    <row r="247" spans="1:2" x14ac:dyDescent="0.3">
      <c r="A247" s="170"/>
      <c r="B247" s="170"/>
    </row>
    <row r="248" spans="1:2" x14ac:dyDescent="0.3">
      <c r="A248" s="170"/>
      <c r="B248" s="170"/>
    </row>
    <row r="249" spans="1:2" x14ac:dyDescent="0.3">
      <c r="A249" s="170"/>
      <c r="B249" s="170"/>
    </row>
    <row r="250" spans="1:2" x14ac:dyDescent="0.3">
      <c r="A250" s="170"/>
      <c r="B250" s="170"/>
    </row>
    <row r="251" spans="1:2" x14ac:dyDescent="0.3">
      <c r="A251" s="170"/>
      <c r="B251" s="170"/>
    </row>
    <row r="252" spans="1:2" x14ac:dyDescent="0.3">
      <c r="A252" s="170"/>
      <c r="B252" s="170"/>
    </row>
    <row r="253" spans="1:2" x14ac:dyDescent="0.3">
      <c r="A253" s="170"/>
      <c r="B253" s="170"/>
    </row>
    <row r="254" spans="1:2" x14ac:dyDescent="0.3">
      <c r="A254" s="170"/>
      <c r="B254" s="170"/>
    </row>
    <row r="255" spans="1:2" x14ac:dyDescent="0.3">
      <c r="A255" s="170"/>
      <c r="B255" s="170"/>
    </row>
    <row r="256" spans="1:2" x14ac:dyDescent="0.3">
      <c r="A256" s="170"/>
      <c r="B256" s="170"/>
    </row>
    <row r="257" spans="1:2" x14ac:dyDescent="0.3">
      <c r="A257" s="170"/>
      <c r="B257" s="170"/>
    </row>
    <row r="258" spans="1:2" x14ac:dyDescent="0.3">
      <c r="A258" s="170"/>
      <c r="B258" s="170"/>
    </row>
    <row r="259" spans="1:2" x14ac:dyDescent="0.3">
      <c r="A259" s="170"/>
      <c r="B259" s="170"/>
    </row>
    <row r="260" spans="1:2" x14ac:dyDescent="0.3">
      <c r="A260" s="170"/>
      <c r="B260" s="170"/>
    </row>
    <row r="261" spans="1:2" x14ac:dyDescent="0.3">
      <c r="A261" s="170"/>
      <c r="B261" s="170"/>
    </row>
    <row r="262" spans="1:2" x14ac:dyDescent="0.3">
      <c r="A262" s="170"/>
      <c r="B262" s="170"/>
    </row>
    <row r="263" spans="1:2" x14ac:dyDescent="0.3">
      <c r="A263" s="170"/>
      <c r="B263" s="170"/>
    </row>
    <row r="264" spans="1:2" x14ac:dyDescent="0.3">
      <c r="A264" s="170"/>
      <c r="B264" s="170"/>
    </row>
    <row r="265" spans="1:2" x14ac:dyDescent="0.3">
      <c r="A265" s="170"/>
      <c r="B265" s="170"/>
    </row>
    <row r="266" spans="1:2" x14ac:dyDescent="0.3">
      <c r="A266" s="170"/>
      <c r="B266" s="170"/>
    </row>
    <row r="267" spans="1:2" x14ac:dyDescent="0.3">
      <c r="A267" s="170"/>
      <c r="B267" s="170"/>
    </row>
    <row r="268" spans="1:2" x14ac:dyDescent="0.3">
      <c r="A268" s="170"/>
      <c r="B268" s="170"/>
    </row>
    <row r="269" spans="1:2" x14ac:dyDescent="0.3">
      <c r="A269" s="170"/>
      <c r="B269" s="170"/>
    </row>
    <row r="270" spans="1:2" x14ac:dyDescent="0.3">
      <c r="A270" s="170"/>
      <c r="B270" s="170"/>
    </row>
    <row r="271" spans="1:2" x14ac:dyDescent="0.3">
      <c r="A271" s="170"/>
      <c r="B271" s="170"/>
    </row>
    <row r="272" spans="1:2" x14ac:dyDescent="0.3">
      <c r="A272" s="170"/>
      <c r="B272" s="170"/>
    </row>
    <row r="273" spans="1:2" x14ac:dyDescent="0.3">
      <c r="A273" s="170"/>
      <c r="B273" s="170"/>
    </row>
    <row r="274" spans="1:2" x14ac:dyDescent="0.3">
      <c r="A274" s="170"/>
      <c r="B274" s="170"/>
    </row>
    <row r="275" spans="1:2" x14ac:dyDescent="0.3">
      <c r="A275" s="170"/>
      <c r="B275" s="170"/>
    </row>
    <row r="276" spans="1:2" x14ac:dyDescent="0.3">
      <c r="A276" s="170"/>
      <c r="B276" s="170"/>
    </row>
    <row r="277" spans="1:2" x14ac:dyDescent="0.3">
      <c r="A277" s="170"/>
      <c r="B277" s="170"/>
    </row>
  </sheetData>
  <mergeCells count="36">
    <mergeCell ref="BB29:BF29"/>
    <mergeCell ref="CC27:CE27"/>
    <mergeCell ref="BG28:BK28"/>
    <mergeCell ref="CF5:CT5"/>
    <mergeCell ref="CU5:DI5"/>
    <mergeCell ref="BL11:BP11"/>
    <mergeCell ref="BG11:BK11"/>
    <mergeCell ref="DJ5:DX5"/>
    <mergeCell ref="C5:H5"/>
    <mergeCell ref="I5:W5"/>
    <mergeCell ref="X5:AL5"/>
    <mergeCell ref="AM5:BA5"/>
    <mergeCell ref="BB5:BP5"/>
    <mergeCell ref="BQ5:CE5"/>
    <mergeCell ref="DT15:DX15"/>
    <mergeCell ref="BQ12:BU12"/>
    <mergeCell ref="BV12:BZ12"/>
    <mergeCell ref="CA12:CE12"/>
    <mergeCell ref="CF13:CJ13"/>
    <mergeCell ref="CK13:CO13"/>
    <mergeCell ref="CP13:CT13"/>
    <mergeCell ref="CU14:CY14"/>
    <mergeCell ref="CZ14:DD14"/>
    <mergeCell ref="DE14:DI14"/>
    <mergeCell ref="DJ15:DN15"/>
    <mergeCell ref="DO15:DS15"/>
    <mergeCell ref="I8:M8"/>
    <mergeCell ref="N8:R8"/>
    <mergeCell ref="S8:W8"/>
    <mergeCell ref="X9:AB9"/>
    <mergeCell ref="AC9:AG9"/>
    <mergeCell ref="AH9:AL9"/>
    <mergeCell ref="AM10:AQ10"/>
    <mergeCell ref="AR10:AV10"/>
    <mergeCell ref="AW10:BA10"/>
    <mergeCell ref="BB11:BF11"/>
  </mergeCells>
  <conditionalFormatting sqref="A6:EB6">
    <cfRule type="cellIs" dxfId="3" priority="2" operator="equal">
      <formula>TODAY()</formula>
    </cfRule>
  </conditionalFormatting>
  <conditionalFormatting sqref="P1">
    <cfRule type="expression" dxfId="2" priority="1">
      <formula>"P6=today()"</formula>
    </cfRule>
  </conditionalFormatting>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F14BA-AD9D-49E3-9B6A-D3919E983A43}">
  <sheetPr codeName="Sheet14"/>
  <dimension ref="A1:B10"/>
  <sheetViews>
    <sheetView workbookViewId="0">
      <selection activeCell="B26" sqref="B26"/>
    </sheetView>
  </sheetViews>
  <sheetFormatPr defaultColWidth="8.88671875" defaultRowHeight="14.4" x14ac:dyDescent="0.3"/>
  <cols>
    <col min="1" max="1" width="8.88671875" style="137"/>
    <col min="2" max="2" width="10.5546875" style="137" bestFit="1" customWidth="1"/>
    <col min="3" max="16384" width="8.88671875" style="137"/>
  </cols>
  <sheetData>
    <row r="1" spans="1:2" x14ac:dyDescent="0.3">
      <c r="A1" s="174">
        <f t="shared" ref="A1:A6" si="0">WEEKDAY(B1)</f>
        <v>3</v>
      </c>
      <c r="B1" s="170">
        <v>43319</v>
      </c>
    </row>
    <row r="2" spans="1:2" x14ac:dyDescent="0.3">
      <c r="A2" s="174">
        <f t="shared" si="0"/>
        <v>2</v>
      </c>
      <c r="B2" s="170">
        <v>43332</v>
      </c>
    </row>
    <row r="3" spans="1:2" x14ac:dyDescent="0.3">
      <c r="A3" s="174">
        <f t="shared" si="0"/>
        <v>2</v>
      </c>
      <c r="B3" s="170">
        <v>43388</v>
      </c>
    </row>
    <row r="4" spans="1:2" x14ac:dyDescent="0.3">
      <c r="A4" s="174">
        <f t="shared" si="0"/>
        <v>2</v>
      </c>
      <c r="B4" s="170">
        <v>43409</v>
      </c>
    </row>
    <row r="5" spans="1:2" x14ac:dyDescent="0.3">
      <c r="A5" s="174">
        <f t="shared" si="0"/>
        <v>2</v>
      </c>
      <c r="B5" s="170">
        <v>43416</v>
      </c>
    </row>
    <row r="6" spans="1:2" x14ac:dyDescent="0.3">
      <c r="A6" s="174">
        <f t="shared" si="0"/>
        <v>7</v>
      </c>
      <c r="B6" s="170">
        <v>43442</v>
      </c>
    </row>
    <row r="7" spans="1:2" x14ac:dyDescent="0.3">
      <c r="B7" s="170">
        <v>43459</v>
      </c>
    </row>
    <row r="8" spans="1:2" x14ac:dyDescent="0.3">
      <c r="B8" s="170">
        <v>43466</v>
      </c>
    </row>
    <row r="9" spans="1:2" x14ac:dyDescent="0.3">
      <c r="B9" s="170">
        <v>43472</v>
      </c>
    </row>
    <row r="10" spans="1:2" x14ac:dyDescent="0.3">
      <c r="B10" s="170">
        <v>43549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20B2-E3CE-43DB-B250-DF5267A3BBD1}">
  <sheetPr codeName="Sheet15"/>
  <dimension ref="A1:C11"/>
  <sheetViews>
    <sheetView zoomScale="135" workbookViewId="0">
      <selection activeCell="B4" sqref="B4"/>
    </sheetView>
  </sheetViews>
  <sheetFormatPr defaultColWidth="8.88671875" defaultRowHeight="14.4" x14ac:dyDescent="0.3"/>
  <cols>
    <col min="1" max="1" width="8.88671875" style="137"/>
    <col min="2" max="2" width="62" style="137" bestFit="1" customWidth="1"/>
    <col min="3" max="3" width="72.44140625" style="137" bestFit="1" customWidth="1"/>
    <col min="4" max="16384" width="8.88671875" style="137"/>
  </cols>
  <sheetData>
    <row r="1" spans="1:3" ht="15" thickBot="1" x14ac:dyDescent="0.35">
      <c r="A1" s="183" t="s">
        <v>6</v>
      </c>
      <c r="B1" s="183" t="s">
        <v>309</v>
      </c>
      <c r="C1" s="183" t="s">
        <v>101</v>
      </c>
    </row>
    <row r="2" spans="1:3" ht="15.6" thickTop="1" thickBot="1" x14ac:dyDescent="0.35">
      <c r="A2" s="207" t="s">
        <v>391</v>
      </c>
      <c r="B2" s="184" t="s">
        <v>310</v>
      </c>
      <c r="C2" s="184" t="str">
        <f>A2&amp;" -&gt; "&amp;B2</f>
        <v>S0 -&gt; Project Set UP</v>
      </c>
    </row>
    <row r="3" spans="1:3" ht="15.6" thickTop="1" thickBot="1" x14ac:dyDescent="0.35">
      <c r="A3" s="207" t="s">
        <v>343</v>
      </c>
      <c r="B3" s="190" t="s">
        <v>366</v>
      </c>
      <c r="C3" s="184" t="str">
        <f t="shared" ref="C3:C10" si="0">A3&amp;" -&gt; "&amp;B3</f>
        <v xml:space="preserve">S1 -&gt; Arquitectura y Diseño de Modelo y Diccionario de datos, catalogo de objetos y metadatos </v>
      </c>
    </row>
    <row r="4" spans="1:3" ht="15.6" thickTop="1" thickBot="1" x14ac:dyDescent="0.35">
      <c r="A4" s="207" t="s">
        <v>344</v>
      </c>
      <c r="B4" s="190" t="s">
        <v>367</v>
      </c>
      <c r="C4" s="184" t="str">
        <f t="shared" si="0"/>
        <v xml:space="preserve">S2 -&gt; Implementación de Modelo y Diccionario de datos, catalogo de objetos y metadatos </v>
      </c>
    </row>
    <row r="5" spans="1:3" ht="15.6" thickTop="1" thickBot="1" x14ac:dyDescent="0.35">
      <c r="A5" s="207" t="s">
        <v>345</v>
      </c>
      <c r="B5" s="190" t="s">
        <v>375</v>
      </c>
      <c r="C5" s="184" t="str">
        <f t="shared" si="0"/>
        <v>S3 -&gt; Carga de información  en la  Geo-database</v>
      </c>
    </row>
    <row r="6" spans="1:3" ht="15.6" thickTop="1" thickBot="1" x14ac:dyDescent="0.35">
      <c r="A6" s="207" t="s">
        <v>346</v>
      </c>
      <c r="B6" s="184" t="s">
        <v>311</v>
      </c>
      <c r="C6" s="184" t="str">
        <f t="shared" si="0"/>
        <v>S4 -&gt; Integración de Fuel and Gas</v>
      </c>
    </row>
    <row r="7" spans="1:3" ht="15.6" thickTop="1" thickBot="1" x14ac:dyDescent="0.35">
      <c r="A7" s="208" t="s">
        <v>347</v>
      </c>
      <c r="B7" s="208" t="s">
        <v>312</v>
      </c>
      <c r="C7" s="208" t="str">
        <f t="shared" si="0"/>
        <v>S5 -&gt; Agregar capas complementarias e integración con modelo de hidrología</v>
      </c>
    </row>
    <row r="8" spans="1:3" ht="15.6" thickTop="1" thickBot="1" x14ac:dyDescent="0.35">
      <c r="A8" s="208" t="s">
        <v>348</v>
      </c>
      <c r="B8" s="208" t="s">
        <v>313</v>
      </c>
      <c r="C8" s="208" t="str">
        <f t="shared" si="0"/>
        <v xml:space="preserve">S6 -&gt; conformación geo database integrada </v>
      </c>
    </row>
    <row r="9" spans="1:3" ht="15.6" thickTop="1" thickBot="1" x14ac:dyDescent="0.35">
      <c r="A9" s="208" t="s">
        <v>349</v>
      </c>
      <c r="B9" s="208" t="s">
        <v>314</v>
      </c>
      <c r="C9" s="208" t="str">
        <f t="shared" si="0"/>
        <v>S7 -&gt; Despliegue de solución</v>
      </c>
    </row>
    <row r="10" spans="1:3" ht="15.6" thickTop="1" thickBot="1" x14ac:dyDescent="0.35">
      <c r="A10" s="208" t="s">
        <v>350</v>
      </c>
      <c r="B10" s="208" t="s">
        <v>315</v>
      </c>
      <c r="C10" s="208" t="str">
        <f t="shared" si="0"/>
        <v>S8 -&gt; estabilización y entrenamiento usuarios finales</v>
      </c>
    </row>
    <row r="11" spans="1:3" ht="15" thickTop="1" x14ac:dyDescent="0.3"/>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B32"/>
  <sheetViews>
    <sheetView topLeftCell="A5" zoomScaleNormal="100" workbookViewId="0">
      <selection activeCell="B5" sqref="B5"/>
    </sheetView>
  </sheetViews>
  <sheetFormatPr defaultColWidth="9.109375" defaultRowHeight="13.8" x14ac:dyDescent="0.3"/>
  <cols>
    <col min="1" max="1" width="9.109375" style="22"/>
    <col min="2" max="2" width="100.5546875" style="24" customWidth="1"/>
    <col min="3" max="3" width="24" style="22" customWidth="1"/>
    <col min="4" max="16384" width="9.109375" style="22"/>
  </cols>
  <sheetData>
    <row r="2" spans="1:2" ht="26.25" customHeight="1" x14ac:dyDescent="0.3">
      <c r="A2" s="20"/>
      <c r="B2" s="21" t="s">
        <v>54</v>
      </c>
    </row>
    <row r="4" spans="1:2" ht="35.25" customHeight="1" x14ac:dyDescent="0.3">
      <c r="A4" s="230" t="s">
        <v>77</v>
      </c>
      <c r="B4" s="231"/>
    </row>
    <row r="5" spans="1:2" x14ac:dyDescent="0.3">
      <c r="B5" s="23" t="s">
        <v>95</v>
      </c>
    </row>
    <row r="6" spans="1:2" ht="55.2" x14ac:dyDescent="0.3">
      <c r="B6" s="23" t="s">
        <v>96</v>
      </c>
    </row>
    <row r="7" spans="1:2" ht="82.8" x14ac:dyDescent="0.3">
      <c r="B7" s="23" t="s">
        <v>97</v>
      </c>
    </row>
    <row r="8" spans="1:2" ht="124.2" x14ac:dyDescent="0.3">
      <c r="B8" s="23" t="s">
        <v>98</v>
      </c>
    </row>
    <row r="9" spans="1:2" ht="27.6" x14ac:dyDescent="0.3">
      <c r="B9" s="23" t="s">
        <v>99</v>
      </c>
    </row>
    <row r="11" spans="1:2" ht="17.25" customHeight="1" x14ac:dyDescent="0.3">
      <c r="A11" s="230" t="s">
        <v>63</v>
      </c>
      <c r="B11" s="231"/>
    </row>
    <row r="12" spans="1:2" ht="82.8" x14ac:dyDescent="0.3">
      <c r="B12" s="24" t="s">
        <v>79</v>
      </c>
    </row>
    <row r="13" spans="1:2" ht="55.2" x14ac:dyDescent="0.3">
      <c r="B13" s="24" t="s">
        <v>78</v>
      </c>
    </row>
    <row r="14" spans="1:2" ht="55.2" x14ac:dyDescent="0.3">
      <c r="B14" s="24" t="s">
        <v>82</v>
      </c>
    </row>
    <row r="15" spans="1:2" ht="12.75" customHeight="1" x14ac:dyDescent="0.3"/>
    <row r="16" spans="1:2" ht="16.5" customHeight="1" x14ac:dyDescent="0.3">
      <c r="A16" s="230" t="s">
        <v>64</v>
      </c>
      <c r="B16" s="231"/>
    </row>
    <row r="17" spans="2:2" ht="151.80000000000001" x14ac:dyDescent="0.3">
      <c r="B17" s="24" t="s">
        <v>91</v>
      </c>
    </row>
    <row r="21" spans="2:2" x14ac:dyDescent="0.3">
      <c r="B21" s="25"/>
    </row>
    <row r="22" spans="2:2" s="27" customFormat="1" x14ac:dyDescent="0.3">
      <c r="B22" s="26"/>
    </row>
    <row r="23" spans="2:2" x14ac:dyDescent="0.3">
      <c r="B23" s="28"/>
    </row>
    <row r="24" spans="2:2" s="27" customFormat="1" x14ac:dyDescent="0.3">
      <c r="B24" s="26"/>
    </row>
    <row r="25" spans="2:2" x14ac:dyDescent="0.3">
      <c r="B25" s="28"/>
    </row>
    <row r="26" spans="2:2" x14ac:dyDescent="0.3">
      <c r="B26" s="28"/>
    </row>
    <row r="27" spans="2:2" s="27" customFormat="1" x14ac:dyDescent="0.3">
      <c r="B27" s="26"/>
    </row>
    <row r="28" spans="2:2" x14ac:dyDescent="0.3">
      <c r="B28" s="28"/>
    </row>
    <row r="29" spans="2:2" x14ac:dyDescent="0.3">
      <c r="B29" s="26"/>
    </row>
    <row r="30" spans="2:2" x14ac:dyDescent="0.3">
      <c r="B30" s="28"/>
    </row>
    <row r="31" spans="2:2" x14ac:dyDescent="0.3">
      <c r="B31" s="26"/>
    </row>
    <row r="32" spans="2:2" x14ac:dyDescent="0.3">
      <c r="B32" s="28"/>
    </row>
  </sheetData>
  <mergeCells count="3">
    <mergeCell ref="A4:B4"/>
    <mergeCell ref="A11:B11"/>
    <mergeCell ref="A16:B16"/>
  </mergeCells>
  <phoneticPr fontId="9"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BB9BB-0642-4122-A4C8-B5CBE37B8F0D}">
  <sheetPr codeName="Sheet17"/>
  <dimension ref="A1:B6"/>
  <sheetViews>
    <sheetView workbookViewId="0">
      <selection activeCell="B1" sqref="B1:B6"/>
    </sheetView>
  </sheetViews>
  <sheetFormatPr defaultRowHeight="13.2" x14ac:dyDescent="0.25"/>
  <cols>
    <col min="1" max="1" width="11.88671875" bestFit="1" customWidth="1"/>
  </cols>
  <sheetData>
    <row r="1" spans="1:2" x14ac:dyDescent="0.25">
      <c r="A1" t="s">
        <v>397</v>
      </c>
      <c r="B1" t="s">
        <v>399</v>
      </c>
    </row>
    <row r="2" spans="1:2" x14ac:dyDescent="0.25">
      <c r="A2" s="210" t="s">
        <v>351</v>
      </c>
      <c r="B2" s="210" t="s">
        <v>43</v>
      </c>
    </row>
    <row r="3" spans="1:2" x14ac:dyDescent="0.25">
      <c r="A3" s="210" t="s">
        <v>377</v>
      </c>
      <c r="B3" s="210" t="s">
        <v>400</v>
      </c>
    </row>
    <row r="4" spans="1:2" x14ac:dyDescent="0.25">
      <c r="A4" s="210" t="s">
        <v>361</v>
      </c>
      <c r="B4" s="210" t="s">
        <v>384</v>
      </c>
    </row>
    <row r="5" spans="1:2" x14ac:dyDescent="0.25">
      <c r="A5" s="210" t="s">
        <v>398</v>
      </c>
      <c r="B5" s="210" t="s">
        <v>81</v>
      </c>
    </row>
    <row r="6" spans="1:2" x14ac:dyDescent="0.25">
      <c r="A6" s="210"/>
      <c r="B6" s="210" t="s">
        <v>396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45"/>
  <sheetViews>
    <sheetView workbookViewId="0">
      <selection activeCell="C17" sqref="C17"/>
    </sheetView>
  </sheetViews>
  <sheetFormatPr defaultColWidth="9.109375" defaultRowHeight="13.8" x14ac:dyDescent="0.3"/>
  <cols>
    <col min="1" max="1" width="1.5546875" style="22" customWidth="1"/>
    <col min="2" max="2" width="9.109375" style="22"/>
    <col min="3" max="3" width="100.44140625" style="22" bestFit="1" customWidth="1"/>
    <col min="4" max="16384" width="9.109375" style="22"/>
  </cols>
  <sheetData>
    <row r="1" spans="2:4" ht="6" customHeight="1" x14ac:dyDescent="0.3"/>
    <row r="2" spans="2:4" ht="24.75" customHeight="1" x14ac:dyDescent="0.3">
      <c r="B2" s="20"/>
      <c r="C2" s="21" t="s">
        <v>4</v>
      </c>
    </row>
    <row r="3" spans="2:4" x14ac:dyDescent="0.3">
      <c r="C3" s="28"/>
      <c r="D3" s="44"/>
    </row>
    <row r="4" spans="2:4" x14ac:dyDescent="0.3">
      <c r="B4" s="232" t="s">
        <v>3</v>
      </c>
      <c r="C4" s="233"/>
    </row>
    <row r="5" spans="2:4" ht="27.6" x14ac:dyDescent="0.3">
      <c r="C5" s="28" t="s">
        <v>9</v>
      </c>
      <c r="D5" s="44"/>
    </row>
    <row r="6" spans="2:4" x14ac:dyDescent="0.3">
      <c r="C6" s="28"/>
      <c r="D6" s="44"/>
    </row>
    <row r="7" spans="2:4" x14ac:dyDescent="0.3">
      <c r="B7" s="232" t="s">
        <v>8</v>
      </c>
      <c r="C7" s="233"/>
    </row>
    <row r="8" spans="2:4" ht="41.4" x14ac:dyDescent="0.3">
      <c r="C8" s="28" t="s">
        <v>1</v>
      </c>
    </row>
    <row r="9" spans="2:4" x14ac:dyDescent="0.3">
      <c r="C9" s="24"/>
    </row>
    <row r="10" spans="2:4" x14ac:dyDescent="0.3">
      <c r="B10" s="232" t="s">
        <v>2</v>
      </c>
      <c r="C10" s="233"/>
    </row>
    <row r="11" spans="2:4" ht="41.4" x14ac:dyDescent="0.3">
      <c r="C11" s="28" t="s">
        <v>5</v>
      </c>
    </row>
    <row r="12" spans="2:4" x14ac:dyDescent="0.3">
      <c r="C12" s="24"/>
      <c r="D12" s="45"/>
    </row>
    <row r="13" spans="2:4" ht="12.75" customHeight="1" x14ac:dyDescent="0.3">
      <c r="B13" s="232" t="s">
        <v>22</v>
      </c>
      <c r="C13" s="233"/>
      <c r="D13" s="45"/>
    </row>
    <row r="14" spans="2:4" x14ac:dyDescent="0.3">
      <c r="B14" s="46"/>
      <c r="C14" s="28" t="s">
        <v>87</v>
      </c>
      <c r="D14" s="45"/>
    </row>
    <row r="15" spans="2:4" x14ac:dyDescent="0.3">
      <c r="B15" s="46"/>
      <c r="C15" s="28"/>
      <c r="D15" s="45"/>
    </row>
    <row r="16" spans="2:4" x14ac:dyDescent="0.3">
      <c r="B16" s="232" t="s">
        <v>89</v>
      </c>
      <c r="C16" s="233"/>
      <c r="D16" s="45"/>
    </row>
    <row r="17" spans="2:4" ht="27.6" x14ac:dyDescent="0.3">
      <c r="C17" s="28" t="s">
        <v>90</v>
      </c>
      <c r="D17" s="45"/>
    </row>
    <row r="18" spans="2:4" x14ac:dyDescent="0.3">
      <c r="B18" s="46"/>
      <c r="C18" s="28"/>
      <c r="D18" s="45"/>
    </row>
    <row r="19" spans="2:4" x14ac:dyDescent="0.3">
      <c r="B19" s="232" t="s">
        <v>40</v>
      </c>
      <c r="C19" s="233"/>
    </row>
    <row r="20" spans="2:4" ht="69" x14ac:dyDescent="0.3">
      <c r="C20" s="28" t="s">
        <v>0</v>
      </c>
    </row>
    <row r="21" spans="2:4" x14ac:dyDescent="0.3">
      <c r="C21" s="24"/>
    </row>
    <row r="22" spans="2:4" x14ac:dyDescent="0.3">
      <c r="B22" s="232" t="s">
        <v>6</v>
      </c>
      <c r="C22" s="233"/>
      <c r="D22" s="44"/>
    </row>
    <row r="23" spans="2:4" ht="69" x14ac:dyDescent="0.3">
      <c r="C23" s="28" t="s">
        <v>10</v>
      </c>
      <c r="D23" s="44"/>
    </row>
    <row r="24" spans="2:4" x14ac:dyDescent="0.3">
      <c r="C24" s="24"/>
    </row>
    <row r="25" spans="2:4" x14ac:dyDescent="0.3">
      <c r="B25" s="232" t="s">
        <v>7</v>
      </c>
      <c r="C25" s="233"/>
    </row>
    <row r="26" spans="2:4" x14ac:dyDescent="0.3">
      <c r="C26" s="28" t="s">
        <v>11</v>
      </c>
    </row>
    <row r="27" spans="2:4" x14ac:dyDescent="0.3">
      <c r="C27" s="24"/>
    </row>
    <row r="28" spans="2:4" x14ac:dyDescent="0.3">
      <c r="B28" s="232" t="s">
        <v>25</v>
      </c>
      <c r="C28" s="233"/>
    </row>
    <row r="29" spans="2:4" x14ac:dyDescent="0.3">
      <c r="C29" s="28" t="s">
        <v>24</v>
      </c>
    </row>
    <row r="30" spans="2:4" x14ac:dyDescent="0.3">
      <c r="C30" s="24"/>
    </row>
    <row r="31" spans="2:4" x14ac:dyDescent="0.3">
      <c r="B31" s="232" t="s">
        <v>15</v>
      </c>
      <c r="C31" s="233"/>
    </row>
    <row r="32" spans="2:4" x14ac:dyDescent="0.3">
      <c r="C32" s="28" t="s">
        <v>26</v>
      </c>
    </row>
    <row r="33" spans="2:3" x14ac:dyDescent="0.3">
      <c r="C33" s="24"/>
    </row>
    <row r="34" spans="2:3" x14ac:dyDescent="0.3">
      <c r="B34" s="232" t="s">
        <v>14</v>
      </c>
      <c r="C34" s="233"/>
    </row>
    <row r="35" spans="2:3" x14ac:dyDescent="0.3">
      <c r="C35" s="28" t="s">
        <v>27</v>
      </c>
    </row>
    <row r="36" spans="2:3" x14ac:dyDescent="0.3">
      <c r="C36" s="24"/>
    </row>
    <row r="37" spans="2:3" x14ac:dyDescent="0.3">
      <c r="B37" s="232" t="s">
        <v>13</v>
      </c>
      <c r="C37" s="233"/>
    </row>
    <row r="38" spans="2:3" ht="27.6" x14ac:dyDescent="0.3">
      <c r="C38" s="28" t="s">
        <v>28</v>
      </c>
    </row>
    <row r="39" spans="2:3" x14ac:dyDescent="0.3">
      <c r="C39" s="24"/>
    </row>
    <row r="40" spans="2:3" x14ac:dyDescent="0.3">
      <c r="B40" s="232" t="s">
        <v>85</v>
      </c>
      <c r="C40" s="233"/>
    </row>
    <row r="41" spans="2:3" ht="41.4" x14ac:dyDescent="0.3">
      <c r="C41" s="28" t="s">
        <v>86</v>
      </c>
    </row>
    <row r="42" spans="2:3" x14ac:dyDescent="0.3">
      <c r="B42" s="232" t="s">
        <v>330</v>
      </c>
      <c r="C42" s="233"/>
    </row>
    <row r="43" spans="2:3" x14ac:dyDescent="0.3">
      <c r="B43" s="22" t="s">
        <v>331</v>
      </c>
      <c r="C43" s="177">
        <f>4/8</f>
        <v>0.5</v>
      </c>
    </row>
    <row r="44" spans="2:3" x14ac:dyDescent="0.3">
      <c r="B44" s="22" t="s">
        <v>332</v>
      </c>
      <c r="C44" s="22">
        <f>2/8</f>
        <v>0.25</v>
      </c>
    </row>
    <row r="45" spans="2:3" x14ac:dyDescent="0.3">
      <c r="B45" s="22" t="s">
        <v>333</v>
      </c>
      <c r="C45" s="22">
        <f>(15/60)/8</f>
        <v>3.125E-2</v>
      </c>
    </row>
  </sheetData>
  <mergeCells count="14">
    <mergeCell ref="B42:C42"/>
    <mergeCell ref="B31:C31"/>
    <mergeCell ref="B34:C34"/>
    <mergeCell ref="B40:C40"/>
    <mergeCell ref="B4:C4"/>
    <mergeCell ref="B7:C7"/>
    <mergeCell ref="B10:C10"/>
    <mergeCell ref="B28:C28"/>
    <mergeCell ref="B37:C37"/>
    <mergeCell ref="B19:C19"/>
    <mergeCell ref="B16:C16"/>
    <mergeCell ref="B22:C22"/>
    <mergeCell ref="B13:C13"/>
    <mergeCell ref="B25:C25"/>
  </mergeCells>
  <phoneticPr fontId="9"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outlinePr summaryBelow="0"/>
  </sheetPr>
  <dimension ref="B1:H25"/>
  <sheetViews>
    <sheetView zoomScaleNormal="100" workbookViewId="0">
      <selection activeCell="B6" sqref="B6:H6"/>
    </sheetView>
  </sheetViews>
  <sheetFormatPr defaultColWidth="9.109375" defaultRowHeight="13.8" x14ac:dyDescent="0.3"/>
  <cols>
    <col min="1" max="1" width="2.44140625" style="22" customWidth="1"/>
    <col min="2" max="2" width="17.44140625" style="50" customWidth="1"/>
    <col min="3" max="3" width="9.44140625" style="48" customWidth="1"/>
    <col min="4" max="5" width="16.5546875" style="48" customWidth="1"/>
    <col min="6" max="6" width="55" style="22" customWidth="1"/>
    <col min="7" max="7" width="12.44140625" style="49" customWidth="1"/>
    <col min="8" max="8" width="17" style="22" bestFit="1" customWidth="1"/>
    <col min="9" max="16384" width="9.109375" style="22"/>
  </cols>
  <sheetData>
    <row r="1" spans="2:8" x14ac:dyDescent="0.3">
      <c r="B1" s="47"/>
    </row>
    <row r="2" spans="2:8" ht="7.5" customHeight="1" thickBot="1" x14ac:dyDescent="0.35"/>
    <row r="3" spans="2:8" s="54" customFormat="1" ht="39" customHeight="1" x14ac:dyDescent="0.3">
      <c r="B3" s="51" t="s">
        <v>16</v>
      </c>
      <c r="C3" s="52" t="s">
        <v>6</v>
      </c>
      <c r="D3" s="52" t="s">
        <v>34</v>
      </c>
      <c r="E3" s="52" t="s">
        <v>388</v>
      </c>
      <c r="F3" s="52" t="s">
        <v>48</v>
      </c>
      <c r="G3" s="52" t="s">
        <v>49</v>
      </c>
      <c r="H3" s="53"/>
    </row>
    <row r="4" spans="2:8" s="58" customFormat="1" ht="15" customHeight="1" x14ac:dyDescent="0.3">
      <c r="B4" s="55"/>
      <c r="C4" s="55"/>
      <c r="D4" s="55"/>
      <c r="E4" s="55"/>
      <c r="F4" s="55" t="s">
        <v>35</v>
      </c>
      <c r="G4" s="56"/>
      <c r="H4" s="132" t="s">
        <v>100</v>
      </c>
    </row>
    <row r="5" spans="2:8" ht="27.6" x14ac:dyDescent="0.3">
      <c r="B5" s="59" t="s">
        <v>36</v>
      </c>
      <c r="C5" s="59" t="s">
        <v>343</v>
      </c>
      <c r="D5" s="59" t="s">
        <v>36</v>
      </c>
      <c r="E5" s="59" t="s">
        <v>389</v>
      </c>
      <c r="F5" s="204" t="str">
        <f>Sprints!B3</f>
        <v xml:space="preserve">Arquitectura y Diseño de Modelo y Diccionario de datos, catalogo de objetos y metadatos </v>
      </c>
      <c r="G5" s="60">
        <f>SUM('Product Backlog Details'!F3:F7)</f>
        <v>19</v>
      </c>
      <c r="H5" s="57"/>
    </row>
    <row r="6" spans="2:8" ht="27.6" x14ac:dyDescent="0.3">
      <c r="B6" s="59" t="s">
        <v>37</v>
      </c>
      <c r="C6" s="59" t="s">
        <v>344</v>
      </c>
      <c r="D6" s="59" t="s">
        <v>36</v>
      </c>
      <c r="E6" s="59" t="s">
        <v>390</v>
      </c>
      <c r="F6" s="204" t="str">
        <f>Sprints!B4</f>
        <v xml:space="preserve">Implementación de Modelo y Diccionario de datos, catalogo de objetos y metadatos </v>
      </c>
      <c r="G6" s="60">
        <f>SUM('Product Backlog Details'!F8:F9)</f>
        <v>11</v>
      </c>
      <c r="H6" s="131"/>
    </row>
    <row r="7" spans="2:8" x14ac:dyDescent="0.3">
      <c r="B7" s="59" t="s">
        <v>38</v>
      </c>
      <c r="C7" s="59" t="s">
        <v>345</v>
      </c>
      <c r="D7" s="59" t="s">
        <v>37</v>
      </c>
      <c r="E7" s="59" t="s">
        <v>390</v>
      </c>
      <c r="F7" s="204" t="str">
        <f>Sprints!B5</f>
        <v>Carga de información  en la  Geo-database</v>
      </c>
      <c r="G7" s="60"/>
      <c r="H7" s="57"/>
    </row>
    <row r="8" spans="2:8" x14ac:dyDescent="0.3">
      <c r="B8" s="59" t="s">
        <v>65</v>
      </c>
      <c r="C8" s="59" t="s">
        <v>346</v>
      </c>
      <c r="D8" s="59" t="s">
        <v>37</v>
      </c>
      <c r="E8" s="59" t="s">
        <v>390</v>
      </c>
      <c r="F8" s="204" t="str">
        <f>Sprints!B6</f>
        <v>Integración de Fuel and Gas</v>
      </c>
      <c r="G8" s="60"/>
      <c r="H8" s="57"/>
    </row>
    <row r="9" spans="2:8" ht="27.6" x14ac:dyDescent="0.3">
      <c r="B9" s="59" t="s">
        <v>66</v>
      </c>
      <c r="C9" s="59" t="s">
        <v>347</v>
      </c>
      <c r="D9" s="59" t="s">
        <v>37</v>
      </c>
      <c r="E9" s="59" t="s">
        <v>390</v>
      </c>
      <c r="F9" s="204" t="str">
        <f>Sprints!B7</f>
        <v>Agregar capas complementarias e integración con modelo de hidrología</v>
      </c>
      <c r="G9" s="60"/>
      <c r="H9" s="57"/>
    </row>
    <row r="10" spans="2:8" x14ac:dyDescent="0.3">
      <c r="B10" s="59" t="s">
        <v>67</v>
      </c>
      <c r="C10" s="59" t="s">
        <v>348</v>
      </c>
      <c r="D10" s="59" t="s">
        <v>37</v>
      </c>
      <c r="E10" s="59" t="s">
        <v>390</v>
      </c>
      <c r="F10" s="204" t="str">
        <f>Sprints!B8</f>
        <v xml:space="preserve">conformación geo database integrada </v>
      </c>
      <c r="G10" s="60"/>
      <c r="H10" s="57"/>
    </row>
    <row r="11" spans="2:8" x14ac:dyDescent="0.3">
      <c r="B11" s="59" t="s">
        <v>68</v>
      </c>
      <c r="C11" s="59" t="s">
        <v>349</v>
      </c>
      <c r="D11" s="59" t="s">
        <v>37</v>
      </c>
      <c r="E11" s="59" t="s">
        <v>390</v>
      </c>
      <c r="F11" s="204" t="str">
        <f>Sprints!B9</f>
        <v>Despliegue de solución</v>
      </c>
      <c r="G11" s="60"/>
      <c r="H11" s="57"/>
    </row>
    <row r="12" spans="2:8" x14ac:dyDescent="0.3">
      <c r="B12" s="59" t="s">
        <v>69</v>
      </c>
      <c r="C12" s="59" t="s">
        <v>350</v>
      </c>
      <c r="D12" s="59" t="s">
        <v>37</v>
      </c>
      <c r="E12" s="59" t="s">
        <v>390</v>
      </c>
      <c r="F12" s="204" t="str">
        <f>Sprints!B10</f>
        <v>estabilización y entrenamiento usuarios finales</v>
      </c>
      <c r="G12" s="60"/>
      <c r="H12" s="57"/>
    </row>
    <row r="13" spans="2:8" ht="13.5" customHeight="1" x14ac:dyDescent="0.3">
      <c r="B13" s="59" t="s">
        <v>70</v>
      </c>
      <c r="C13" s="59"/>
      <c r="D13" s="59"/>
      <c r="E13" s="59"/>
      <c r="F13" s="59"/>
      <c r="G13" s="60"/>
      <c r="H13" s="57"/>
    </row>
    <row r="14" spans="2:8" x14ac:dyDescent="0.3">
      <c r="B14" s="59" t="s">
        <v>71</v>
      </c>
      <c r="C14" s="59"/>
      <c r="D14" s="59"/>
      <c r="E14" s="59"/>
      <c r="F14" s="59"/>
      <c r="G14" s="60"/>
      <c r="H14" s="57"/>
    </row>
    <row r="15" spans="2:8" x14ac:dyDescent="0.3">
      <c r="B15" s="59" t="s">
        <v>72</v>
      </c>
      <c r="C15" s="59"/>
      <c r="D15" s="59"/>
      <c r="E15" s="59"/>
      <c r="F15" s="59"/>
      <c r="G15" s="60"/>
      <c r="H15" s="57"/>
    </row>
    <row r="16" spans="2:8" x14ac:dyDescent="0.3">
      <c r="B16" s="59" t="s">
        <v>73</v>
      </c>
      <c r="C16" s="59"/>
      <c r="D16" s="59"/>
      <c r="E16" s="59"/>
      <c r="F16" s="59"/>
      <c r="G16" s="60"/>
      <c r="H16" s="57"/>
    </row>
    <row r="17" spans="2:8" s="64" customFormat="1" ht="13.5" customHeight="1" x14ac:dyDescent="0.3">
      <c r="B17" s="61"/>
      <c r="C17" s="61"/>
      <c r="D17" s="61"/>
      <c r="E17" s="61"/>
      <c r="F17" s="61" t="s">
        <v>39</v>
      </c>
      <c r="G17" s="62"/>
      <c r="H17" s="63"/>
    </row>
    <row r="18" spans="2:8" ht="14.25" customHeight="1" thickBot="1" x14ac:dyDescent="0.35">
      <c r="B18" s="65"/>
      <c r="C18" s="65"/>
      <c r="D18" s="65"/>
      <c r="E18" s="65"/>
      <c r="F18" s="66" t="s">
        <v>51</v>
      </c>
      <c r="G18" s="67">
        <f>SUM(G5:G17)</f>
        <v>30</v>
      </c>
      <c r="H18" s="68"/>
    </row>
    <row r="19" spans="2:8" x14ac:dyDescent="0.3">
      <c r="B19" s="69"/>
      <c r="C19" s="70"/>
      <c r="D19" s="70"/>
      <c r="E19" s="70"/>
      <c r="F19" s="71"/>
      <c r="H19" s="71"/>
    </row>
    <row r="20" spans="2:8" x14ac:dyDescent="0.3">
      <c r="C20" s="72"/>
      <c r="D20" s="72"/>
      <c r="E20" s="72"/>
    </row>
    <row r="21" spans="2:8" x14ac:dyDescent="0.3">
      <c r="C21" s="50"/>
      <c r="D21" s="50"/>
      <c r="E21" s="50"/>
    </row>
    <row r="22" spans="2:8" x14ac:dyDescent="0.3">
      <c r="C22" s="50"/>
      <c r="D22" s="50"/>
      <c r="E22" s="50"/>
    </row>
    <row r="23" spans="2:8" x14ac:dyDescent="0.3">
      <c r="C23" s="50"/>
      <c r="D23" s="50"/>
      <c r="E23" s="50"/>
    </row>
    <row r="24" spans="2:8" x14ac:dyDescent="0.3">
      <c r="C24" s="50"/>
      <c r="D24" s="50"/>
      <c r="E24" s="50"/>
    </row>
    <row r="25" spans="2:8" x14ac:dyDescent="0.3">
      <c r="C25" s="50"/>
      <c r="D25" s="50"/>
      <c r="E25" s="50"/>
    </row>
  </sheetData>
  <phoneticPr fontId="9" type="noConversion"/>
  <dataValidations count="2">
    <dataValidation type="list" allowBlank="1" showInputMessage="1" showErrorMessage="1" sqref="D5:D16 E13:E16" xr:uid="{00000000-0002-0000-0400-000000000000}">
      <formula1>$B$5:$B$16</formula1>
    </dataValidation>
    <dataValidation type="list" allowBlank="1" showInputMessage="1" showErrorMessage="1" sqref="E5:E12" xr:uid="{5B84C4DB-21DF-4213-8698-8F8C0670FF23}">
      <formula1>"Actual,Proxima, Cerrada, Por Cerrar"</formula1>
    </dataValidation>
  </dataValidations>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filterMode="1">
    <outlinePr summaryBelow="0"/>
  </sheetPr>
  <dimension ref="A1:N32"/>
  <sheetViews>
    <sheetView tabSelected="1" zoomScale="160" zoomScaleNormal="160" workbookViewId="0">
      <pane xSplit="1" ySplit="6" topLeftCell="B30" activePane="bottomRight" state="frozen"/>
      <selection pane="topRight" activeCell="B1" sqref="B1"/>
      <selection pane="bottomLeft" activeCell="A7" sqref="A7"/>
      <selection pane="bottomRight" activeCell="C31" sqref="C31"/>
    </sheetView>
  </sheetViews>
  <sheetFormatPr defaultColWidth="9.109375" defaultRowHeight="13.2" x14ac:dyDescent="0.25"/>
  <cols>
    <col min="1" max="1" width="7.5546875" customWidth="1"/>
    <col min="2" max="2" width="34.88671875" bestFit="1" customWidth="1"/>
    <col min="3" max="3" width="19" customWidth="1"/>
    <col min="4" max="4" width="11.44140625" bestFit="1" customWidth="1"/>
    <col min="5" max="5" width="34.44140625" customWidth="1"/>
    <col min="6" max="6" width="22.88671875" style="1" customWidth="1"/>
    <col min="7" max="7" width="15.5546875" customWidth="1"/>
    <col min="8" max="8" width="13.5546875" customWidth="1"/>
    <col min="9" max="9" width="14.5546875" customWidth="1"/>
    <col min="10" max="10" width="10" bestFit="1" customWidth="1"/>
    <col min="11" max="11" width="7.88671875" bestFit="1" customWidth="1"/>
    <col min="14" max="14" width="25.88671875" customWidth="1"/>
  </cols>
  <sheetData>
    <row r="1" spans="1:14" s="76" customFormat="1" ht="15.6" x14ac:dyDescent="0.3">
      <c r="A1" s="73" t="s">
        <v>52</v>
      </c>
      <c r="B1" s="74" t="s">
        <v>20</v>
      </c>
      <c r="C1" s="74" t="s">
        <v>13</v>
      </c>
      <c r="D1" s="73" t="s">
        <v>2</v>
      </c>
      <c r="E1" s="75" t="s">
        <v>22</v>
      </c>
      <c r="F1" s="217" t="s">
        <v>89</v>
      </c>
      <c r="G1" s="74" t="s">
        <v>15</v>
      </c>
      <c r="H1" s="74" t="s">
        <v>14</v>
      </c>
      <c r="I1" s="84" t="s">
        <v>6</v>
      </c>
      <c r="J1" s="219" t="s">
        <v>33</v>
      </c>
      <c r="K1" s="84" t="s">
        <v>42</v>
      </c>
      <c r="L1" s="84" t="s">
        <v>41</v>
      </c>
      <c r="M1" s="84" t="s">
        <v>40</v>
      </c>
      <c r="N1" s="75" t="s">
        <v>12</v>
      </c>
    </row>
    <row r="2" spans="1:14" s="191" customFormat="1" ht="124.2" hidden="1" x14ac:dyDescent="0.3">
      <c r="A2" s="195">
        <v>1</v>
      </c>
      <c r="B2" s="211" t="s">
        <v>424</v>
      </c>
      <c r="C2" s="196" t="s">
        <v>401</v>
      </c>
      <c r="D2" s="209" t="s">
        <v>351</v>
      </c>
      <c r="E2" s="196" t="s">
        <v>423</v>
      </c>
      <c r="F2" s="196" t="s">
        <v>359</v>
      </c>
      <c r="G2" s="197"/>
      <c r="H2" s="197" t="s">
        <v>385</v>
      </c>
      <c r="I2" s="87" t="s">
        <v>343</v>
      </c>
      <c r="J2" s="88">
        <v>3</v>
      </c>
      <c r="K2" s="88">
        <v>3</v>
      </c>
      <c r="L2" s="88">
        <f>J2-K2</f>
        <v>0</v>
      </c>
      <c r="M2" s="81" t="s">
        <v>81</v>
      </c>
      <c r="N2" s="198"/>
    </row>
    <row r="3" spans="1:14" s="191" customFormat="1" ht="151.80000000000001" hidden="1" x14ac:dyDescent="0.3">
      <c r="A3" s="195">
        <f>A2+1</f>
        <v>2</v>
      </c>
      <c r="B3" s="196" t="s">
        <v>363</v>
      </c>
      <c r="C3" s="196" t="s">
        <v>401</v>
      </c>
      <c r="D3" s="195" t="s">
        <v>351</v>
      </c>
      <c r="E3" s="196" t="s">
        <v>425</v>
      </c>
      <c r="F3" s="196" t="s">
        <v>427</v>
      </c>
      <c r="G3" s="197">
        <v>1</v>
      </c>
      <c r="H3" s="197"/>
      <c r="I3" s="87" t="s">
        <v>343</v>
      </c>
      <c r="J3" s="88">
        <v>3</v>
      </c>
      <c r="K3" s="88">
        <v>3</v>
      </c>
      <c r="L3" s="88">
        <f t="shared" ref="L3:L32" si="0">J3-K3</f>
        <v>0</v>
      </c>
      <c r="M3" s="81" t="s">
        <v>81</v>
      </c>
      <c r="N3" s="198"/>
    </row>
    <row r="4" spans="1:14" s="191" customFormat="1" ht="82.8" hidden="1" x14ac:dyDescent="0.3">
      <c r="A4" s="195">
        <f t="shared" ref="A4:A27" si="1">A3+1</f>
        <v>3</v>
      </c>
      <c r="B4" s="196" t="s">
        <v>422</v>
      </c>
      <c r="C4" s="196" t="s">
        <v>401</v>
      </c>
      <c r="D4" s="195" t="s">
        <v>351</v>
      </c>
      <c r="E4" s="196" t="s">
        <v>426</v>
      </c>
      <c r="F4" s="196" t="s">
        <v>364</v>
      </c>
      <c r="G4" s="197">
        <v>1</v>
      </c>
      <c r="H4" s="197"/>
      <c r="I4" s="87" t="s">
        <v>343</v>
      </c>
      <c r="J4" s="88">
        <v>3</v>
      </c>
      <c r="K4" s="88">
        <v>3</v>
      </c>
      <c r="L4" s="88">
        <f t="shared" si="0"/>
        <v>0</v>
      </c>
      <c r="M4" s="81" t="s">
        <v>81</v>
      </c>
      <c r="N4" s="198"/>
    </row>
    <row r="5" spans="1:14" s="191" customFormat="1" ht="69" hidden="1" x14ac:dyDescent="0.3">
      <c r="A5" s="195">
        <f t="shared" si="1"/>
        <v>4</v>
      </c>
      <c r="B5" s="196" t="s">
        <v>428</v>
      </c>
      <c r="C5" s="196" t="s">
        <v>401</v>
      </c>
      <c r="D5" s="195" t="s">
        <v>351</v>
      </c>
      <c r="E5" s="196" t="s">
        <v>368</v>
      </c>
      <c r="F5" s="196" t="s">
        <v>369</v>
      </c>
      <c r="G5" s="197"/>
      <c r="H5" s="197"/>
      <c r="I5" s="87" t="s">
        <v>343</v>
      </c>
      <c r="J5" s="88">
        <v>5</v>
      </c>
      <c r="K5" s="88">
        <v>5</v>
      </c>
      <c r="L5" s="88">
        <f t="shared" si="0"/>
        <v>0</v>
      </c>
      <c r="M5" s="81" t="s">
        <v>81</v>
      </c>
      <c r="N5" s="198"/>
    </row>
    <row r="6" spans="1:14" s="191" customFormat="1" ht="165.6" hidden="1" x14ac:dyDescent="0.3">
      <c r="A6" s="195">
        <f t="shared" si="1"/>
        <v>5</v>
      </c>
      <c r="B6" s="196" t="s">
        <v>429</v>
      </c>
      <c r="C6" s="196" t="s">
        <v>401</v>
      </c>
      <c r="D6" s="195" t="s">
        <v>351</v>
      </c>
      <c r="E6" s="196" t="s">
        <v>420</v>
      </c>
      <c r="F6" s="199" t="s">
        <v>430</v>
      </c>
      <c r="G6" s="197">
        <v>4</v>
      </c>
      <c r="H6" s="197"/>
      <c r="I6" s="87" t="s">
        <v>343</v>
      </c>
      <c r="J6" s="88">
        <v>5</v>
      </c>
      <c r="K6" s="88">
        <v>5</v>
      </c>
      <c r="L6" s="88">
        <f t="shared" si="0"/>
        <v>0</v>
      </c>
      <c r="M6" s="81" t="s">
        <v>81</v>
      </c>
      <c r="N6" s="198" t="s">
        <v>421</v>
      </c>
    </row>
    <row r="7" spans="1:14" s="22" customFormat="1" ht="82.8" x14ac:dyDescent="0.3">
      <c r="A7" s="200">
        <f t="shared" si="1"/>
        <v>6</v>
      </c>
      <c r="B7" s="201" t="s">
        <v>431</v>
      </c>
      <c r="C7" s="201" t="s">
        <v>402</v>
      </c>
      <c r="D7" s="200" t="s">
        <v>351</v>
      </c>
      <c r="E7" s="201" t="s">
        <v>432</v>
      </c>
      <c r="F7" s="203" t="s">
        <v>433</v>
      </c>
      <c r="G7" s="202">
        <v>27</v>
      </c>
      <c r="H7" s="202"/>
      <c r="I7" s="87" t="s">
        <v>344</v>
      </c>
      <c r="J7" s="88">
        <v>9</v>
      </c>
      <c r="K7" s="88"/>
      <c r="L7" s="88">
        <f t="shared" si="0"/>
        <v>9</v>
      </c>
      <c r="M7" s="81" t="s">
        <v>43</v>
      </c>
      <c r="N7" s="203" t="s">
        <v>394</v>
      </c>
    </row>
    <row r="8" spans="1:14" s="22" customFormat="1" ht="151.80000000000001" x14ac:dyDescent="0.3">
      <c r="A8" s="200">
        <f>A7+1</f>
        <v>7</v>
      </c>
      <c r="B8" s="201" t="s">
        <v>370</v>
      </c>
      <c r="C8" s="201" t="s">
        <v>402</v>
      </c>
      <c r="D8" s="200" t="s">
        <v>351</v>
      </c>
      <c r="E8" s="201" t="s">
        <v>434</v>
      </c>
      <c r="F8" s="203" t="s">
        <v>376</v>
      </c>
      <c r="G8" s="202">
        <v>4</v>
      </c>
      <c r="H8" s="202"/>
      <c r="I8" s="87" t="s">
        <v>344</v>
      </c>
      <c r="J8" s="88">
        <v>8</v>
      </c>
      <c r="K8" s="88"/>
      <c r="L8" s="88">
        <f t="shared" si="0"/>
        <v>8</v>
      </c>
      <c r="M8" s="81" t="s">
        <v>396</v>
      </c>
      <c r="N8" s="203" t="s">
        <v>393</v>
      </c>
    </row>
    <row r="9" spans="1:14" s="22" customFormat="1" ht="96.6" hidden="1" x14ac:dyDescent="0.3">
      <c r="A9" s="200">
        <f t="shared" si="1"/>
        <v>8</v>
      </c>
      <c r="B9" s="201" t="s">
        <v>436</v>
      </c>
      <c r="C9" s="201" t="s">
        <v>403</v>
      </c>
      <c r="D9" s="200" t="s">
        <v>351</v>
      </c>
      <c r="E9" s="196" t="s">
        <v>435</v>
      </c>
      <c r="F9" s="203"/>
      <c r="G9" s="202"/>
      <c r="H9" s="202"/>
      <c r="I9" s="87" t="s">
        <v>345</v>
      </c>
      <c r="J9" s="88">
        <v>0</v>
      </c>
      <c r="K9" s="88"/>
      <c r="L9" s="88">
        <f t="shared" si="0"/>
        <v>0</v>
      </c>
      <c r="M9" s="81" t="s">
        <v>43</v>
      </c>
      <c r="N9" s="203"/>
    </row>
    <row r="10" spans="1:14" s="22" customFormat="1" ht="41.4" hidden="1" x14ac:dyDescent="0.3">
      <c r="A10" s="77">
        <f t="shared" si="1"/>
        <v>9</v>
      </c>
      <c r="B10" s="78" t="s">
        <v>437</v>
      </c>
      <c r="C10" s="201" t="s">
        <v>403</v>
      </c>
      <c r="D10" s="77" t="s">
        <v>361</v>
      </c>
      <c r="E10" s="78" t="s">
        <v>88</v>
      </c>
      <c r="F10" s="80"/>
      <c r="G10" s="79"/>
      <c r="H10" s="79"/>
      <c r="I10" s="87" t="s">
        <v>345</v>
      </c>
      <c r="J10" s="88">
        <v>3</v>
      </c>
      <c r="K10" s="88"/>
      <c r="L10" s="88">
        <f t="shared" si="0"/>
        <v>3</v>
      </c>
      <c r="M10" s="81" t="s">
        <v>43</v>
      </c>
      <c r="N10" s="80"/>
    </row>
    <row r="11" spans="1:14" s="22" customFormat="1" ht="55.2" hidden="1" x14ac:dyDescent="0.3">
      <c r="A11" s="77">
        <f t="shared" si="1"/>
        <v>10</v>
      </c>
      <c r="B11" s="78" t="s">
        <v>438</v>
      </c>
      <c r="C11" s="201" t="s">
        <v>403</v>
      </c>
      <c r="D11" s="77" t="s">
        <v>398</v>
      </c>
      <c r="E11" s="78" t="s">
        <v>88</v>
      </c>
      <c r="F11" s="80"/>
      <c r="G11" s="79"/>
      <c r="H11" s="79"/>
      <c r="I11" s="87" t="s">
        <v>345</v>
      </c>
      <c r="J11" s="88">
        <v>0</v>
      </c>
      <c r="K11" s="88"/>
      <c r="L11" s="88">
        <f t="shared" si="0"/>
        <v>0</v>
      </c>
      <c r="M11" s="81" t="s">
        <v>43</v>
      </c>
      <c r="N11" s="80"/>
    </row>
    <row r="12" spans="1:14" s="22" customFormat="1" ht="55.2" hidden="1" x14ac:dyDescent="0.3">
      <c r="A12" s="77">
        <f t="shared" si="1"/>
        <v>11</v>
      </c>
      <c r="B12" s="78" t="s">
        <v>439</v>
      </c>
      <c r="C12" s="201" t="s">
        <v>403</v>
      </c>
      <c r="D12" s="77" t="s">
        <v>398</v>
      </c>
      <c r="E12" s="78" t="s">
        <v>88</v>
      </c>
      <c r="F12" s="80"/>
      <c r="G12" s="79"/>
      <c r="H12" s="79"/>
      <c r="I12" s="87" t="s">
        <v>345</v>
      </c>
      <c r="J12" s="88">
        <v>0</v>
      </c>
      <c r="K12" s="88"/>
      <c r="L12" s="88">
        <f t="shared" si="0"/>
        <v>0</v>
      </c>
      <c r="M12" s="81" t="s">
        <v>43</v>
      </c>
      <c r="N12" s="80"/>
    </row>
    <row r="13" spans="1:14" s="22" customFormat="1" ht="69" hidden="1" x14ac:dyDescent="0.3">
      <c r="A13" s="77">
        <f t="shared" si="1"/>
        <v>12</v>
      </c>
      <c r="B13" s="78" t="s">
        <v>440</v>
      </c>
      <c r="C13" s="201" t="s">
        <v>403</v>
      </c>
      <c r="D13" s="77" t="s">
        <v>398</v>
      </c>
      <c r="E13" s="78" t="s">
        <v>88</v>
      </c>
      <c r="F13" s="80" t="s">
        <v>320</v>
      </c>
      <c r="G13" s="79"/>
      <c r="H13" s="79"/>
      <c r="I13" s="87" t="s">
        <v>345</v>
      </c>
      <c r="J13" s="88">
        <v>0</v>
      </c>
      <c r="K13" s="88"/>
      <c r="L13" s="88">
        <f t="shared" si="0"/>
        <v>0</v>
      </c>
      <c r="M13" s="81" t="s">
        <v>43</v>
      </c>
      <c r="N13" s="80"/>
    </row>
    <row r="14" spans="1:14" s="22" customFormat="1" ht="96.6" hidden="1" x14ac:dyDescent="0.3">
      <c r="A14" s="77">
        <f t="shared" si="1"/>
        <v>13</v>
      </c>
      <c r="B14" s="78" t="s">
        <v>441</v>
      </c>
      <c r="C14" s="201" t="s">
        <v>403</v>
      </c>
      <c r="D14" s="77" t="s">
        <v>398</v>
      </c>
      <c r="E14" s="78" t="s">
        <v>88</v>
      </c>
      <c r="F14" s="80"/>
      <c r="G14" s="79"/>
      <c r="H14" s="79"/>
      <c r="I14" s="87" t="s">
        <v>345</v>
      </c>
      <c r="J14" s="88">
        <v>0</v>
      </c>
      <c r="K14" s="88"/>
      <c r="L14" s="88">
        <f t="shared" si="0"/>
        <v>0</v>
      </c>
      <c r="M14" s="81" t="s">
        <v>43</v>
      </c>
      <c r="N14" s="80"/>
    </row>
    <row r="15" spans="1:14" s="22" customFormat="1" ht="41.4" hidden="1" x14ac:dyDescent="0.3">
      <c r="A15" s="77">
        <f t="shared" si="1"/>
        <v>14</v>
      </c>
      <c r="B15" s="78" t="s">
        <v>442</v>
      </c>
      <c r="C15" s="201" t="s">
        <v>403</v>
      </c>
      <c r="D15" s="77" t="s">
        <v>398</v>
      </c>
      <c r="E15" s="78" t="s">
        <v>88</v>
      </c>
      <c r="F15" s="80"/>
      <c r="G15" s="79"/>
      <c r="H15" s="79"/>
      <c r="I15" s="87" t="s">
        <v>345</v>
      </c>
      <c r="J15" s="88">
        <v>0</v>
      </c>
      <c r="K15" s="88"/>
      <c r="L15" s="88">
        <f t="shared" si="0"/>
        <v>0</v>
      </c>
      <c r="M15" s="81" t="s">
        <v>43</v>
      </c>
      <c r="N15" s="80"/>
    </row>
    <row r="16" spans="1:14" s="22" customFormat="1" ht="41.4" hidden="1" x14ac:dyDescent="0.3">
      <c r="A16" s="77">
        <f t="shared" si="1"/>
        <v>15</v>
      </c>
      <c r="B16" s="78" t="s">
        <v>443</v>
      </c>
      <c r="C16" s="201" t="s">
        <v>403</v>
      </c>
      <c r="D16" s="77" t="s">
        <v>398</v>
      </c>
      <c r="E16" s="78" t="s">
        <v>88</v>
      </c>
      <c r="F16" s="80"/>
      <c r="G16" s="79"/>
      <c r="H16" s="79"/>
      <c r="I16" s="87" t="s">
        <v>345</v>
      </c>
      <c r="J16" s="88">
        <v>0</v>
      </c>
      <c r="K16" s="88"/>
      <c r="L16" s="88">
        <f t="shared" si="0"/>
        <v>0</v>
      </c>
      <c r="M16" s="81" t="s">
        <v>43</v>
      </c>
      <c r="N16" s="80"/>
    </row>
    <row r="17" spans="1:14" s="22" customFormat="1" ht="41.4" hidden="1" x14ac:dyDescent="0.3">
      <c r="A17" s="77">
        <f t="shared" si="1"/>
        <v>16</v>
      </c>
      <c r="B17" s="78" t="s">
        <v>444</v>
      </c>
      <c r="C17" s="201" t="s">
        <v>403</v>
      </c>
      <c r="D17" s="77" t="s">
        <v>398</v>
      </c>
      <c r="E17" s="78" t="s">
        <v>88</v>
      </c>
      <c r="F17" s="80"/>
      <c r="G17" s="79"/>
      <c r="H17" s="79"/>
      <c r="I17" s="87" t="s">
        <v>345</v>
      </c>
      <c r="J17" s="88">
        <v>0</v>
      </c>
      <c r="K17" s="88"/>
      <c r="L17" s="88">
        <f t="shared" si="0"/>
        <v>0</v>
      </c>
      <c r="M17" s="81" t="s">
        <v>43</v>
      </c>
      <c r="N17" s="80"/>
    </row>
    <row r="18" spans="1:14" s="22" customFormat="1" ht="55.2" hidden="1" x14ac:dyDescent="0.3">
      <c r="A18" s="77">
        <f t="shared" si="1"/>
        <v>17</v>
      </c>
      <c r="B18" s="78" t="s">
        <v>445</v>
      </c>
      <c r="C18" s="78" t="s">
        <v>404</v>
      </c>
      <c r="D18" s="77" t="s">
        <v>398</v>
      </c>
      <c r="E18" s="78" t="s">
        <v>88</v>
      </c>
      <c r="F18" s="80"/>
      <c r="G18" s="79"/>
      <c r="H18" s="79"/>
      <c r="I18" s="87" t="s">
        <v>346</v>
      </c>
      <c r="J18" s="88">
        <v>0</v>
      </c>
      <c r="K18" s="88"/>
      <c r="L18" s="88">
        <f t="shared" si="0"/>
        <v>0</v>
      </c>
      <c r="M18" s="81" t="s">
        <v>43</v>
      </c>
      <c r="N18" s="80"/>
    </row>
    <row r="19" spans="1:14" s="22" customFormat="1" ht="55.2" hidden="1" x14ac:dyDescent="0.3">
      <c r="A19" s="77">
        <f t="shared" si="1"/>
        <v>18</v>
      </c>
      <c r="B19" s="78" t="s">
        <v>446</v>
      </c>
      <c r="C19" s="78" t="s">
        <v>404</v>
      </c>
      <c r="D19" s="77" t="s">
        <v>398</v>
      </c>
      <c r="E19" s="78" t="s">
        <v>88</v>
      </c>
      <c r="F19" s="80"/>
      <c r="G19" s="79"/>
      <c r="H19" s="79"/>
      <c r="I19" s="87" t="s">
        <v>346</v>
      </c>
      <c r="J19" s="88">
        <v>0</v>
      </c>
      <c r="K19" s="88"/>
      <c r="L19" s="88">
        <f t="shared" si="0"/>
        <v>0</v>
      </c>
      <c r="M19" s="81" t="s">
        <v>43</v>
      </c>
      <c r="N19" s="80"/>
    </row>
    <row r="20" spans="1:14" s="22" customFormat="1" ht="69" hidden="1" x14ac:dyDescent="0.3">
      <c r="A20" s="77">
        <f t="shared" si="1"/>
        <v>19</v>
      </c>
      <c r="B20" s="78" t="s">
        <v>447</v>
      </c>
      <c r="C20" s="78" t="s">
        <v>405</v>
      </c>
      <c r="D20" s="77" t="s">
        <v>351</v>
      </c>
      <c r="E20" s="78" t="s">
        <v>373</v>
      </c>
      <c r="F20" s="80"/>
      <c r="G20" s="79"/>
      <c r="H20" s="79"/>
      <c r="I20" s="87" t="s">
        <v>347</v>
      </c>
      <c r="J20" s="88">
        <v>0</v>
      </c>
      <c r="K20" s="88"/>
      <c r="L20" s="88">
        <f t="shared" si="0"/>
        <v>0</v>
      </c>
      <c r="M20" s="81" t="s">
        <v>43</v>
      </c>
      <c r="N20" s="80" t="s">
        <v>372</v>
      </c>
    </row>
    <row r="21" spans="1:14" s="22" customFormat="1" ht="55.2" hidden="1" x14ac:dyDescent="0.3">
      <c r="A21" s="77">
        <f t="shared" si="1"/>
        <v>20</v>
      </c>
      <c r="B21" s="78" t="s">
        <v>448</v>
      </c>
      <c r="C21" s="78" t="s">
        <v>405</v>
      </c>
      <c r="D21" s="77" t="s">
        <v>398</v>
      </c>
      <c r="E21" s="78" t="s">
        <v>88</v>
      </c>
      <c r="F21" s="80"/>
      <c r="G21" s="79"/>
      <c r="H21" s="79"/>
      <c r="I21" s="87" t="s">
        <v>347</v>
      </c>
      <c r="J21" s="88">
        <v>0</v>
      </c>
      <c r="K21" s="88"/>
      <c r="L21" s="88">
        <f t="shared" si="0"/>
        <v>0</v>
      </c>
      <c r="M21" s="81" t="s">
        <v>43</v>
      </c>
      <c r="N21" s="80"/>
    </row>
    <row r="22" spans="1:14" s="22" customFormat="1" ht="55.2" hidden="1" x14ac:dyDescent="0.3">
      <c r="A22" s="77">
        <f t="shared" si="1"/>
        <v>21</v>
      </c>
      <c r="B22" s="78" t="s">
        <v>449</v>
      </c>
      <c r="C22" s="78" t="s">
        <v>405</v>
      </c>
      <c r="D22" s="77" t="s">
        <v>398</v>
      </c>
      <c r="E22" s="80" t="s">
        <v>319</v>
      </c>
      <c r="F22" s="80"/>
      <c r="G22" s="79"/>
      <c r="H22" s="79"/>
      <c r="I22" s="87" t="s">
        <v>347</v>
      </c>
      <c r="J22" s="88">
        <v>0</v>
      </c>
      <c r="K22" s="88"/>
      <c r="L22" s="88">
        <f t="shared" si="0"/>
        <v>0</v>
      </c>
      <c r="M22" s="81" t="s">
        <v>43</v>
      </c>
      <c r="N22" s="80"/>
    </row>
    <row r="23" spans="1:14" s="22" customFormat="1" ht="69" hidden="1" x14ac:dyDescent="0.3">
      <c r="A23" s="77">
        <f t="shared" si="1"/>
        <v>22</v>
      </c>
      <c r="B23" s="78" t="s">
        <v>450</v>
      </c>
      <c r="C23" s="78" t="s">
        <v>407</v>
      </c>
      <c r="D23" s="77" t="s">
        <v>398</v>
      </c>
      <c r="E23" s="78" t="s">
        <v>88</v>
      </c>
      <c r="F23" s="80"/>
      <c r="G23" s="79"/>
      <c r="H23" s="79"/>
      <c r="I23" s="87" t="s">
        <v>350</v>
      </c>
      <c r="J23" s="88">
        <v>0</v>
      </c>
      <c r="K23" s="88"/>
      <c r="L23" s="88">
        <f t="shared" si="0"/>
        <v>0</v>
      </c>
      <c r="M23" s="81" t="s">
        <v>43</v>
      </c>
      <c r="N23" s="80"/>
    </row>
    <row r="24" spans="1:14" s="22" customFormat="1" ht="69" hidden="1" x14ac:dyDescent="0.3">
      <c r="A24" s="77">
        <f t="shared" si="1"/>
        <v>23</v>
      </c>
      <c r="B24" s="78" t="s">
        <v>451</v>
      </c>
      <c r="C24" s="78" t="s">
        <v>405</v>
      </c>
      <c r="D24" s="77" t="s">
        <v>398</v>
      </c>
      <c r="E24" s="78" t="s">
        <v>88</v>
      </c>
      <c r="F24" s="80"/>
      <c r="G24" s="79"/>
      <c r="H24" s="79"/>
      <c r="I24" s="87" t="s">
        <v>347</v>
      </c>
      <c r="J24" s="88">
        <v>0</v>
      </c>
      <c r="K24" s="88"/>
      <c r="L24" s="88">
        <f t="shared" si="0"/>
        <v>0</v>
      </c>
      <c r="M24" s="81" t="s">
        <v>43</v>
      </c>
      <c r="N24" s="80"/>
    </row>
    <row r="25" spans="1:14" s="22" customFormat="1" ht="55.2" hidden="1" x14ac:dyDescent="0.3">
      <c r="A25" s="77">
        <f t="shared" si="1"/>
        <v>24</v>
      </c>
      <c r="B25" s="78" t="s">
        <v>452</v>
      </c>
      <c r="C25" s="78" t="s">
        <v>405</v>
      </c>
      <c r="D25" s="77" t="s">
        <v>351</v>
      </c>
      <c r="E25" s="78" t="s">
        <v>88</v>
      </c>
      <c r="F25" s="80"/>
      <c r="G25" s="79"/>
      <c r="H25" s="79"/>
      <c r="I25" s="87" t="s">
        <v>347</v>
      </c>
      <c r="J25" s="88">
        <v>0</v>
      </c>
      <c r="K25" s="88"/>
      <c r="L25" s="88">
        <f t="shared" si="0"/>
        <v>0</v>
      </c>
      <c r="M25" s="81" t="s">
        <v>396</v>
      </c>
      <c r="N25" s="80"/>
    </row>
    <row r="26" spans="1:14" s="22" customFormat="1" ht="69" hidden="1" x14ac:dyDescent="0.3">
      <c r="A26" s="77">
        <f t="shared" si="1"/>
        <v>25</v>
      </c>
      <c r="B26" s="78" t="s">
        <v>360</v>
      </c>
      <c r="C26" s="78" t="s">
        <v>401</v>
      </c>
      <c r="D26" s="77" t="s">
        <v>361</v>
      </c>
      <c r="E26" s="81" t="s">
        <v>362</v>
      </c>
      <c r="F26" s="80"/>
      <c r="G26" s="79"/>
      <c r="H26" s="79"/>
      <c r="I26" s="87" t="s">
        <v>343</v>
      </c>
      <c r="J26" s="88">
        <v>0</v>
      </c>
      <c r="K26" s="88"/>
      <c r="L26" s="88">
        <f t="shared" si="0"/>
        <v>0</v>
      </c>
      <c r="M26" s="81" t="s">
        <v>396</v>
      </c>
      <c r="N26" s="80" t="s">
        <v>392</v>
      </c>
    </row>
    <row r="27" spans="1:14" s="22" customFormat="1" ht="55.2" hidden="1" x14ac:dyDescent="0.3">
      <c r="A27" s="77">
        <f t="shared" si="1"/>
        <v>26</v>
      </c>
      <c r="B27" s="78" t="s">
        <v>365</v>
      </c>
      <c r="C27" s="78" t="s">
        <v>406</v>
      </c>
      <c r="D27" s="77" t="s">
        <v>377</v>
      </c>
      <c r="E27" s="81"/>
      <c r="F27" s="80"/>
      <c r="G27" s="79"/>
      <c r="H27" s="79"/>
      <c r="I27" s="87" t="s">
        <v>349</v>
      </c>
      <c r="J27" s="88">
        <v>0</v>
      </c>
      <c r="K27" s="88"/>
      <c r="L27" s="88">
        <f t="shared" si="0"/>
        <v>0</v>
      </c>
      <c r="M27" s="81" t="s">
        <v>43</v>
      </c>
      <c r="N27" s="80"/>
    </row>
    <row r="28" spans="1:14" ht="96.6" x14ac:dyDescent="0.3">
      <c r="A28">
        <v>27</v>
      </c>
      <c r="B28" s="212" t="s">
        <v>411</v>
      </c>
      <c r="C28" s="212" t="s">
        <v>402</v>
      </c>
      <c r="D28" s="213" t="s">
        <v>351</v>
      </c>
      <c r="E28" s="212" t="s">
        <v>409</v>
      </c>
      <c r="F28" s="214" t="s">
        <v>410</v>
      </c>
      <c r="G28">
        <v>2</v>
      </c>
      <c r="H28">
        <v>6</v>
      </c>
      <c r="I28" s="215" t="s">
        <v>344</v>
      </c>
      <c r="J28" s="216">
        <v>15</v>
      </c>
      <c r="L28" s="88">
        <f t="shared" si="0"/>
        <v>15</v>
      </c>
      <c r="M28" s="81" t="s">
        <v>384</v>
      </c>
    </row>
    <row r="29" spans="1:14" ht="96.6" x14ac:dyDescent="0.3">
      <c r="A29">
        <v>28</v>
      </c>
      <c r="B29" s="212" t="s">
        <v>412</v>
      </c>
      <c r="C29" s="212" t="s">
        <v>402</v>
      </c>
      <c r="D29" s="213" t="s">
        <v>351</v>
      </c>
      <c r="E29" s="1" t="s">
        <v>413</v>
      </c>
      <c r="F29" s="214" t="s">
        <v>410</v>
      </c>
      <c r="G29">
        <v>5</v>
      </c>
      <c r="H29">
        <v>30</v>
      </c>
      <c r="J29" s="218">
        <v>11</v>
      </c>
      <c r="L29" s="88">
        <f t="shared" si="0"/>
        <v>11</v>
      </c>
      <c r="M29" s="81" t="s">
        <v>384</v>
      </c>
    </row>
    <row r="30" spans="1:14" ht="69" x14ac:dyDescent="0.3">
      <c r="A30">
        <v>29</v>
      </c>
      <c r="B30" s="212" t="s">
        <v>414</v>
      </c>
      <c r="C30" s="212" t="s">
        <v>402</v>
      </c>
      <c r="D30" s="213" t="s">
        <v>351</v>
      </c>
      <c r="E30" s="78" t="s">
        <v>415</v>
      </c>
      <c r="F30" s="214" t="s">
        <v>371</v>
      </c>
      <c r="G30">
        <v>5</v>
      </c>
      <c r="H30">
        <v>30</v>
      </c>
      <c r="J30" s="218">
        <v>15</v>
      </c>
      <c r="L30" s="88">
        <f t="shared" si="0"/>
        <v>15</v>
      </c>
      <c r="M30" s="81" t="s">
        <v>43</v>
      </c>
    </row>
    <row r="31" spans="1:14" ht="69" x14ac:dyDescent="0.3">
      <c r="A31">
        <v>30</v>
      </c>
      <c r="B31" s="212" t="s">
        <v>416</v>
      </c>
      <c r="C31" s="212" t="s">
        <v>402</v>
      </c>
      <c r="D31" s="213" t="s">
        <v>351</v>
      </c>
      <c r="E31" s="78" t="s">
        <v>417</v>
      </c>
      <c r="G31">
        <v>28</v>
      </c>
      <c r="J31" s="218">
        <v>15</v>
      </c>
      <c r="L31" s="88">
        <f t="shared" si="0"/>
        <v>15</v>
      </c>
      <c r="M31" s="81" t="s">
        <v>43</v>
      </c>
    </row>
    <row r="32" spans="1:14" ht="93" x14ac:dyDescent="0.3">
      <c r="A32">
        <v>31</v>
      </c>
      <c r="B32" s="212" t="s">
        <v>418</v>
      </c>
      <c r="C32" s="212" t="s">
        <v>402</v>
      </c>
      <c r="D32" s="213" t="s">
        <v>351</v>
      </c>
      <c r="E32" s="78" t="s">
        <v>419</v>
      </c>
      <c r="F32" s="1" t="s">
        <v>410</v>
      </c>
      <c r="G32">
        <v>5</v>
      </c>
      <c r="J32" s="218">
        <v>19</v>
      </c>
      <c r="L32" s="88">
        <f t="shared" si="0"/>
        <v>19</v>
      </c>
      <c r="M32" s="81" t="s">
        <v>43</v>
      </c>
    </row>
  </sheetData>
  <autoFilter ref="A1:N32" xr:uid="{B64FC3B7-ECF0-4044-9011-AE48E529A5F3}">
    <filterColumn colId="2">
      <filters>
        <filter val="S2 -&gt; Implementación de Modelo y Diccionario de datos, catalogo de objetos y metadatos"/>
      </filters>
    </filterColumn>
  </autoFilter>
  <phoneticPr fontId="9" type="noConversion"/>
  <dataValidations count="6">
    <dataValidation type="list" allowBlank="1" showInputMessage="1" showErrorMessage="1" sqref="G2:H27" xr:uid="{00000000-0002-0000-0500-000000000000}">
      <formula1>Id_List</formula1>
    </dataValidation>
    <dataValidation type="list" allowBlank="1" showInputMessage="1" showErrorMessage="1" sqref="D3:D24 D26:D27" xr:uid="{00000000-0002-0000-0500-000001000000}">
      <formula1>INDIRECT("Priority[Prioridad]")</formula1>
    </dataValidation>
    <dataValidation type="list" allowBlank="1" showInputMessage="1" showErrorMessage="1" sqref="D2" xr:uid="{AA8FA3A8-6027-42BD-A4F8-F3F6A79E355C}">
      <formula1>INDIRECT("Priority[prioridad]")</formula1>
    </dataValidation>
    <dataValidation type="list" allowBlank="1" showInputMessage="1" showErrorMessage="1" sqref="M2:M32" xr:uid="{6D6D505E-77F1-4662-A405-B727AA52DB61}">
      <formula1>INDIRECT("Priority[HU Status]")</formula1>
    </dataValidation>
    <dataValidation type="list" allowBlank="1" showInputMessage="1" showErrorMessage="1" sqref="I2:I27" xr:uid="{339C4417-E968-404B-82CF-D86336CE404A}">
      <formula1>Sprint_List</formula1>
    </dataValidation>
    <dataValidation type="list" allowBlank="1" showInputMessage="1" showErrorMessage="1" sqref="D25" xr:uid="{18469066-AF44-4E43-BAC3-FE3F5E82B4D8}">
      <formula1>#REF!</formula1>
    </dataValidation>
  </dataValidations>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D49B503-173D-46C3-AA19-F4D58C4481AA}">
          <x14:formula1>
            <xm:f>Sprints!$C$2:$C$10</xm:f>
          </x14:formula1>
          <xm:sqref>C2:C27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outlinePr summaryBelow="0"/>
  </sheetPr>
  <dimension ref="A1:K153"/>
  <sheetViews>
    <sheetView workbookViewId="0">
      <selection activeCell="F3" sqref="F3"/>
    </sheetView>
  </sheetViews>
  <sheetFormatPr defaultRowHeight="13.2" x14ac:dyDescent="0.25"/>
  <cols>
    <col min="1" max="1" width="10.44140625" style="2" customWidth="1"/>
    <col min="2" max="2" width="33.44140625" style="3" customWidth="1"/>
    <col min="3" max="3" width="13.5546875" style="1" customWidth="1"/>
    <col min="4" max="4" width="10" bestFit="1" customWidth="1"/>
    <col min="5" max="5" width="9.44140625" customWidth="1"/>
    <col min="6" max="6" width="12" style="2" bestFit="1" customWidth="1"/>
    <col min="7" max="7" width="10.109375" style="2" customWidth="1"/>
    <col min="8" max="8" width="13" style="2" bestFit="1" customWidth="1"/>
    <col min="9" max="9" width="11.109375" customWidth="1"/>
    <col min="10" max="10" width="35.5546875" bestFit="1" customWidth="1"/>
    <col min="11" max="11" width="42.44140625" customWidth="1"/>
  </cols>
  <sheetData>
    <row r="1" spans="1:11" s="4" customFormat="1" ht="17.399999999999999" x14ac:dyDescent="0.3">
      <c r="A1" s="7"/>
      <c r="B1" s="5"/>
      <c r="C1" s="8"/>
      <c r="D1" s="5"/>
      <c r="E1" s="5"/>
      <c r="F1" s="5"/>
      <c r="G1" s="5"/>
      <c r="H1" s="5"/>
      <c r="I1" s="5"/>
      <c r="J1" s="5"/>
      <c r="K1" s="6"/>
    </row>
    <row r="2" spans="1:11" s="4" customFormat="1" ht="26.25" customHeight="1" x14ac:dyDescent="0.3">
      <c r="A2" s="84" t="s">
        <v>3</v>
      </c>
      <c r="B2" s="85" t="s">
        <v>8</v>
      </c>
      <c r="C2" s="85" t="s">
        <v>13</v>
      </c>
      <c r="D2" s="84" t="s">
        <v>16</v>
      </c>
      <c r="E2" s="84" t="s">
        <v>6</v>
      </c>
      <c r="F2" s="84" t="s">
        <v>33</v>
      </c>
      <c r="G2" s="84" t="s">
        <v>42</v>
      </c>
      <c r="H2" s="84" t="s">
        <v>41</v>
      </c>
      <c r="I2" s="84" t="s">
        <v>40</v>
      </c>
      <c r="J2" s="84" t="s">
        <v>85</v>
      </c>
      <c r="K2" s="86" t="s">
        <v>12</v>
      </c>
    </row>
    <row r="3" spans="1:11" ht="110.4" x14ac:dyDescent="0.3">
      <c r="A3" s="77">
        <v>1</v>
      </c>
      <c r="B3" s="78" t="str">
        <f>IFERROR(VLOOKUP(A3,'Product Backlog'!$A$2:$K$97,2,FALSE),"")</f>
        <v>Definir la tecnología e infraestructura requerida para la BD espacial de producción</v>
      </c>
      <c r="C3" s="78" t="str">
        <f>IFERROR(VLOOKUP(A3,'Product Backlog'!$A$2:$K$97,3,FALSE),"")</f>
        <v xml:space="preserve">S1 -&gt; Arquitectura y Diseño de Modelo y Diccionario de datos, catalogo de objetos y metadatos </v>
      </c>
      <c r="D3" s="87" t="s">
        <v>36</v>
      </c>
      <c r="E3" s="87" t="s">
        <v>343</v>
      </c>
      <c r="F3" s="88">
        <v>3</v>
      </c>
      <c r="G3" s="88">
        <v>3</v>
      </c>
      <c r="H3" s="88">
        <v>0</v>
      </c>
      <c r="I3" s="81" t="s">
        <v>408</v>
      </c>
      <c r="J3" s="80"/>
      <c r="K3" s="80"/>
    </row>
    <row r="4" spans="1:11" ht="110.4" x14ac:dyDescent="0.3">
      <c r="A4" s="77">
        <v>2</v>
      </c>
      <c r="B4" s="78" t="str">
        <f>IFERROR(VLOOKUP(A4,'Product Backlog'!$A$2:$K$97,2,FALSE),"")</f>
        <v>BD espacial dentro de una estructura corporativa (en ambiente de desarrollo)</v>
      </c>
      <c r="C4" s="78" t="str">
        <f>IFERROR(VLOOKUP(A4,'Product Backlog'!$A$2:$K$97,3,FALSE),"")</f>
        <v xml:space="preserve">S1 -&gt; Arquitectura y Diseño de Modelo y Diccionario de datos, catalogo de objetos y metadatos </v>
      </c>
      <c r="D4" s="87" t="s">
        <v>36</v>
      </c>
      <c r="E4" s="87" t="s">
        <v>343</v>
      </c>
      <c r="F4" s="88">
        <v>3</v>
      </c>
      <c r="G4" s="88"/>
      <c r="H4" s="88"/>
      <c r="I4" s="81" t="s">
        <v>43</v>
      </c>
      <c r="J4" s="80"/>
      <c r="K4" s="80" t="s">
        <v>395</v>
      </c>
    </row>
    <row r="5" spans="1:11" ht="110.4" x14ac:dyDescent="0.3">
      <c r="A5" s="77">
        <v>3</v>
      </c>
      <c r="B5" s="78" t="str">
        <f>IFERROR(VLOOKUP(A5,'Product Backlog'!$A$2:$K$97,2,FALSE),"")</f>
        <v>Me gustaría tener una definición de roles y responsabilidades de la administración de BD</v>
      </c>
      <c r="C5" s="78" t="str">
        <f>IFERROR(VLOOKUP(A5,'Product Backlog'!$A$2:$K$97,3,FALSE),"")</f>
        <v xml:space="preserve">S1 -&gt; Arquitectura y Diseño de Modelo y Diccionario de datos, catalogo de objetos y metadatos </v>
      </c>
      <c r="D5" s="87" t="s">
        <v>36</v>
      </c>
      <c r="E5" s="87" t="s">
        <v>343</v>
      </c>
      <c r="F5" s="88">
        <v>3</v>
      </c>
      <c r="G5" s="88">
        <v>3</v>
      </c>
      <c r="H5" s="88">
        <v>0</v>
      </c>
      <c r="I5" s="81" t="s">
        <v>408</v>
      </c>
      <c r="J5" s="80"/>
      <c r="K5" s="80"/>
    </row>
    <row r="6" spans="1:11" ht="110.4" x14ac:dyDescent="0.3">
      <c r="A6" s="77">
        <v>4</v>
      </c>
      <c r="B6" s="78" t="str">
        <f>IFERROR(VLOOKUP(A6,'Product Backlog'!$A$2:$K$97,2,FALSE),"")</f>
        <v>Revisión basada en estandares de NTC (4 revisiones ) de la información base entregada</v>
      </c>
      <c r="C6" s="78" t="str">
        <f>IFERROR(VLOOKUP(A6,'Product Backlog'!$A$2:$K$97,3,FALSE),"")</f>
        <v xml:space="preserve">S1 -&gt; Arquitectura y Diseño de Modelo y Diccionario de datos, catalogo de objetos y metadatos </v>
      </c>
      <c r="D6" s="87" t="s">
        <v>36</v>
      </c>
      <c r="E6" s="87" t="s">
        <v>343</v>
      </c>
      <c r="F6" s="88">
        <v>5</v>
      </c>
      <c r="G6" s="88">
        <v>5</v>
      </c>
      <c r="H6" s="88">
        <v>0</v>
      </c>
      <c r="I6" s="81" t="s">
        <v>408</v>
      </c>
      <c r="J6" s="80"/>
      <c r="K6" s="80"/>
    </row>
    <row r="7" spans="1:11" ht="110.4" x14ac:dyDescent="0.3">
      <c r="A7" s="77">
        <v>5</v>
      </c>
      <c r="B7" s="78" t="str">
        <f>IFERROR(VLOOKUP(A7,'Product Backlog'!$A$2:$K$97,2,FALSE),"")</f>
        <v xml:space="preserve">Queremos un diseño de un modelo de datos geográfica, estandarizado, que cumpla con las necesidades de información de Enel </v>
      </c>
      <c r="C7" s="78" t="str">
        <f>IFERROR(VLOOKUP(A7,'Product Backlog'!$A$2:$K$97,3,FALSE),"")</f>
        <v xml:space="preserve">S1 -&gt; Arquitectura y Diseño de Modelo y Diccionario de datos, catalogo de objetos y metadatos </v>
      </c>
      <c r="D7" s="87" t="s">
        <v>36</v>
      </c>
      <c r="E7" s="87" t="s">
        <v>343</v>
      </c>
      <c r="F7" s="88">
        <v>5</v>
      </c>
      <c r="G7" s="88"/>
      <c r="H7" s="88"/>
      <c r="I7" s="81" t="s">
        <v>43</v>
      </c>
      <c r="J7" s="80"/>
      <c r="K7" s="80"/>
    </row>
    <row r="8" spans="1:11" ht="96.6" x14ac:dyDescent="0.3">
      <c r="A8" s="77">
        <v>6</v>
      </c>
      <c r="B8" s="78" t="str">
        <f>IFERROR(VLOOKUP(A8,'Product Backlog'!$A$2:$K$97,2,FALSE),"")</f>
        <v>La BD debe permitir la carga de información de tipo Raster</v>
      </c>
      <c r="C8" s="78" t="str">
        <f>IFERROR(VLOOKUP(A8,'Product Backlog'!$A$2:$K$97,3,FALSE),"")</f>
        <v xml:space="preserve">S2 -&gt; Implementación de Modelo y Diccionario de datos, catalogo de objetos y metadatos </v>
      </c>
      <c r="D8" s="87" t="s">
        <v>36</v>
      </c>
      <c r="E8" s="87" t="s">
        <v>344</v>
      </c>
      <c r="F8" s="88">
        <v>3</v>
      </c>
      <c r="G8" s="88"/>
      <c r="H8" s="88">
        <v>0</v>
      </c>
      <c r="I8" s="81" t="s">
        <v>43</v>
      </c>
      <c r="J8" s="80"/>
      <c r="K8" s="80" t="s">
        <v>374</v>
      </c>
    </row>
    <row r="9" spans="1:11" ht="96.6" x14ac:dyDescent="0.3">
      <c r="A9" s="77">
        <v>7</v>
      </c>
      <c r="B9" s="78" t="str">
        <f>IFERROR(VLOOKUP(A9,'Product Backlog'!$A$2:$K$97,2,FALSE),"")</f>
        <v>Implementación de recomendaciones del informe de calidad</v>
      </c>
      <c r="C9" s="78" t="str">
        <f>IFERROR(VLOOKUP(A9,'Product Backlog'!$A$2:$K$97,3,FALSE),"")</f>
        <v xml:space="preserve">S2 -&gt; Implementación de Modelo y Diccionario de datos, catalogo de objetos y metadatos </v>
      </c>
      <c r="D9" s="87" t="s">
        <v>36</v>
      </c>
      <c r="E9" s="87" t="s">
        <v>344</v>
      </c>
      <c r="F9" s="88">
        <v>8</v>
      </c>
      <c r="G9" s="88"/>
      <c r="H9" s="88"/>
      <c r="I9" s="81" t="s">
        <v>43</v>
      </c>
      <c r="J9" s="80"/>
      <c r="K9" s="80"/>
    </row>
    <row r="10" spans="1:11" ht="69" x14ac:dyDescent="0.3">
      <c r="A10" s="77">
        <v>8</v>
      </c>
      <c r="B10" s="78" t="str">
        <f>IFERROR(VLOOKUP(A10,'Product Backlog'!$A$2:$K$97,2,FALSE),"")</f>
        <v xml:space="preserve">Los usuarios podrán realizar operaciones de lectura directamente sobre la base de datos. Las operaciones CUD (create, Update, Delete) se realizarán a través de un servicio </v>
      </c>
      <c r="C10" s="78" t="str">
        <f>IFERROR(VLOOKUP(A10,'Product Backlog'!$A$2:$K$97,3,FALSE),"")</f>
        <v>S3 -&gt; Carga de información  en la  Geo-database</v>
      </c>
      <c r="D10" s="87" t="s">
        <v>36</v>
      </c>
      <c r="E10" s="87" t="s">
        <v>345</v>
      </c>
      <c r="F10" s="88"/>
      <c r="G10" s="88"/>
      <c r="H10" s="88"/>
      <c r="I10" s="81" t="s">
        <v>43</v>
      </c>
      <c r="J10" s="80"/>
      <c r="K10" s="80"/>
    </row>
    <row r="11" spans="1:11" ht="55.2" x14ac:dyDescent="0.3">
      <c r="A11" s="77">
        <v>9</v>
      </c>
      <c r="B11" s="78" t="str">
        <f>IFERROR(VLOOKUP(A11,'Product Backlog'!$A$2:$K$97,2,FALSE),"")</f>
        <v>Quisiéramos tener dentro de la información base el DEM 12.5 de nuestras cuencas y otras de interés</v>
      </c>
      <c r="C11" s="78" t="str">
        <f>IFERROR(VLOOKUP(A11,'Product Backlog'!$A$2:$K$97,3,FALSE),"")</f>
        <v>S3 -&gt; Carga de información  en la  Geo-database</v>
      </c>
      <c r="D11" s="87" t="s">
        <v>36</v>
      </c>
      <c r="E11" s="87" t="s">
        <v>345</v>
      </c>
      <c r="F11" s="88">
        <v>3</v>
      </c>
      <c r="G11" s="88"/>
      <c r="H11" s="88"/>
      <c r="I11" s="81" t="s">
        <v>43</v>
      </c>
      <c r="J11" s="80"/>
      <c r="K11" s="80"/>
    </row>
    <row r="12" spans="1:11" ht="55.2" x14ac:dyDescent="0.3">
      <c r="A12" s="77">
        <v>10</v>
      </c>
      <c r="B12" s="78" t="str">
        <f>IFERROR(VLOOKUP(A12,'Product Backlog'!$A$2:$K$97,2,FALSE),"")</f>
        <v>Nos gustaria tener en la BD el procesamiento hidrologico de los DEM de 30 y 90m de toda Colombia
Equipo de Recursos</v>
      </c>
      <c r="C12" s="78" t="str">
        <f>IFERROR(VLOOKUP(A12,'Product Backlog'!$A$2:$K$97,3,FALSE),"")</f>
        <v>S3 -&gt; Carga de información  en la  Geo-database</v>
      </c>
      <c r="D12" s="87" t="s">
        <v>36</v>
      </c>
      <c r="E12" s="87" t="s">
        <v>345</v>
      </c>
      <c r="F12" s="88"/>
      <c r="G12" s="88"/>
      <c r="H12" s="88"/>
      <c r="I12" s="81" t="s">
        <v>43</v>
      </c>
      <c r="J12" s="80"/>
      <c r="K12" s="80"/>
    </row>
    <row r="13" spans="1:11" ht="55.2" x14ac:dyDescent="0.3">
      <c r="A13" s="77">
        <v>11</v>
      </c>
      <c r="B13" s="78" t="str">
        <f>IFERROR(VLOOKUP(A13,'Product Backlog'!$A$2:$K$97,2,FALSE),"")</f>
        <v>Pruebas de BD espacial 
Delimitar cuencas a partir de las capas preprocesadas del DEM 30 y 90m
Recursos</v>
      </c>
      <c r="C13" s="78" t="str">
        <f>IFERROR(VLOOKUP(A13,'Product Backlog'!$A$2:$K$97,3,FALSE),"")</f>
        <v>S3 -&gt; Carga de información  en la  Geo-database</v>
      </c>
      <c r="D13" s="87" t="s">
        <v>36</v>
      </c>
      <c r="E13" s="87" t="s">
        <v>345</v>
      </c>
      <c r="F13" s="88"/>
      <c r="G13" s="88"/>
      <c r="H13" s="88"/>
      <c r="I13" s="81" t="s">
        <v>43</v>
      </c>
      <c r="J13" s="80"/>
      <c r="K13" s="80"/>
    </row>
    <row r="14" spans="1:11" ht="69" x14ac:dyDescent="0.3">
      <c r="A14" s="77">
        <v>12</v>
      </c>
      <c r="B14" s="78" t="str">
        <f>IFERROR(VLOOKUP(A14,'Product Backlog'!$A$2:$K$97,2,FALSE),"")</f>
        <v>Se require integrar información base de vias(tipo I,II,II,calle y carrera), centros poblados, barrios, veredas, Bogotá, Cali, Barraquilla, Medellin, Cartagena, Bucaramanga, Manizales, Pereira</v>
      </c>
      <c r="C14" s="78" t="str">
        <f>IFERROR(VLOOKUP(A14,'Product Backlog'!$A$2:$K$97,3,FALSE),"")</f>
        <v>S3 -&gt; Carga de información  en la  Geo-database</v>
      </c>
      <c r="D14" s="87" t="s">
        <v>36</v>
      </c>
      <c r="E14" s="87" t="s">
        <v>345</v>
      </c>
      <c r="F14" s="88"/>
      <c r="G14" s="88"/>
      <c r="H14" s="88"/>
      <c r="I14" s="81" t="s">
        <v>43</v>
      </c>
      <c r="J14" s="80"/>
      <c r="K14" s="80"/>
    </row>
    <row r="15" spans="1:11" ht="110.4" x14ac:dyDescent="0.3">
      <c r="A15" s="77">
        <v>13</v>
      </c>
      <c r="B15" s="78" t="str">
        <f>IFERROR(VLOOKUP(A15,'Product Backlog'!$A$2:$K$97,2,FALSE),"")</f>
        <v>Pruebas de BD espacial 
Interpolación a partir de datos de tablas de Geo y de datos de la DB
Tomar los datos de la BD hidrometeorologica,  hacer la interpolación por IDW y guardar  y consultar el resultado en el esquerma temporal</v>
      </c>
      <c r="C15" s="78" t="str">
        <f>IFERROR(VLOOKUP(A15,'Product Backlog'!$A$2:$K$97,3,FALSE),"")</f>
        <v>S3 -&gt; Carga de información  en la  Geo-database</v>
      </c>
      <c r="D15" s="87" t="s">
        <v>36</v>
      </c>
      <c r="E15" s="87" t="s">
        <v>345</v>
      </c>
      <c r="F15" s="88"/>
      <c r="G15" s="88"/>
      <c r="H15" s="88"/>
      <c r="I15" s="81" t="s">
        <v>43</v>
      </c>
      <c r="J15" s="80"/>
      <c r="K15" s="80"/>
    </row>
    <row r="16" spans="1:11" ht="55.2" x14ac:dyDescent="0.3">
      <c r="A16" s="77">
        <v>14</v>
      </c>
      <c r="B16" s="78" t="str">
        <f>IFERROR(VLOOKUP(A16,'Product Backlog'!$A$2:$K$97,2,FALSE),"")</f>
        <v>Pruebas de consulta espaciales y consultas a la BD</v>
      </c>
      <c r="C16" s="78" t="str">
        <f>IFERROR(VLOOKUP(A16,'Product Backlog'!$A$2:$K$97,3,FALSE),"")</f>
        <v>S3 -&gt; Carga de información  en la  Geo-database</v>
      </c>
      <c r="D16" s="87" t="s">
        <v>36</v>
      </c>
      <c r="E16" s="87" t="s">
        <v>345</v>
      </c>
      <c r="F16" s="88"/>
      <c r="G16" s="88"/>
      <c r="H16" s="88"/>
      <c r="I16" s="81" t="s">
        <v>43</v>
      </c>
      <c r="J16" s="80"/>
      <c r="K16" s="80"/>
    </row>
    <row r="17" spans="1:11" ht="55.2" x14ac:dyDescent="0.3">
      <c r="A17" s="77">
        <v>15</v>
      </c>
      <c r="B17" s="78" t="str">
        <f>IFERROR(VLOOKUP(A17,'Product Backlog'!$A$2:$K$97,2,FALSE),"")</f>
        <v xml:space="preserve">Definir el sistema de coordenadas </v>
      </c>
      <c r="C17" s="78" t="str">
        <f>IFERROR(VLOOKUP(A17,'Product Backlog'!$A$2:$K$97,3,FALSE),"")</f>
        <v>S3 -&gt; Carga de información  en la  Geo-database</v>
      </c>
      <c r="D17" s="87" t="s">
        <v>36</v>
      </c>
      <c r="E17" s="87" t="s">
        <v>345</v>
      </c>
      <c r="F17" s="88"/>
      <c r="G17" s="88"/>
      <c r="H17" s="88"/>
      <c r="I17" s="81" t="s">
        <v>43</v>
      </c>
      <c r="J17" s="80"/>
      <c r="K17" s="80"/>
    </row>
    <row r="18" spans="1:11" ht="55.2" x14ac:dyDescent="0.3">
      <c r="A18" s="77">
        <v>16</v>
      </c>
      <c r="B18" s="78" t="str">
        <f>IFERROR(VLOOKUP(A18,'Product Backlog'!$A$2:$K$97,2,FALSE),"")</f>
        <v>Levantamiento de información secundaria de clientes del mercado no regulado</v>
      </c>
      <c r="C18" s="78" t="str">
        <f>IFERROR(VLOOKUP(A18,'Product Backlog'!$A$2:$K$97,3,FALSE),"")</f>
        <v>S3 -&gt; Carga de información  en la  Geo-database</v>
      </c>
      <c r="D18" s="87" t="s">
        <v>36</v>
      </c>
      <c r="E18" s="87" t="s">
        <v>345</v>
      </c>
      <c r="F18" s="88"/>
      <c r="G18" s="88"/>
      <c r="H18" s="88"/>
      <c r="I18" s="81" t="s">
        <v>43</v>
      </c>
      <c r="J18" s="80"/>
      <c r="K18" s="80"/>
    </row>
    <row r="19" spans="1:11" ht="55.2" x14ac:dyDescent="0.3">
      <c r="A19" s="77">
        <v>17</v>
      </c>
      <c r="B19" s="78" t="str">
        <f>IFERROR(VLOOKUP(A19,'Product Backlog'!$A$2:$K$97,2,FALSE),"")</f>
        <v>Requerimos  recopilar e integrar información  predial para georreferenciar clientes y clientes potenciales de energía y gas</v>
      </c>
      <c r="C19" s="78" t="str">
        <f>IFERROR(VLOOKUP(A19,'Product Backlog'!$A$2:$K$97,3,FALSE),"")</f>
        <v>S4 -&gt; Integración de Fuel and Gas</v>
      </c>
      <c r="D19" s="87" t="s">
        <v>37</v>
      </c>
      <c r="E19" s="87" t="s">
        <v>346</v>
      </c>
      <c r="F19" s="88"/>
      <c r="G19" s="88"/>
      <c r="H19" s="88"/>
      <c r="I19" s="81" t="s">
        <v>43</v>
      </c>
      <c r="J19" s="80"/>
      <c r="K19" s="80"/>
    </row>
    <row r="20" spans="1:11" ht="55.2" x14ac:dyDescent="0.3">
      <c r="A20" s="77">
        <v>18</v>
      </c>
      <c r="B20" s="78" t="str">
        <f>IFERROR(VLOOKUP(A20,'Product Backlog'!$A$2:$K$97,2,FALSE),"")</f>
        <v>Queremos recopilar e integrar la información de gasoductos de transporte del SNT para seguimiento de capacidades contratadas y disponibles</v>
      </c>
      <c r="C20" s="78" t="str">
        <f>IFERROR(VLOOKUP(A20,'Product Backlog'!$A$2:$K$97,3,FALSE),"")</f>
        <v>S4 -&gt; Integración de Fuel and Gas</v>
      </c>
      <c r="D20" s="87" t="s">
        <v>37</v>
      </c>
      <c r="E20" s="87" t="s">
        <v>346</v>
      </c>
      <c r="F20" s="88"/>
      <c r="G20" s="88"/>
      <c r="H20" s="88"/>
      <c r="I20" s="81" t="s">
        <v>43</v>
      </c>
      <c r="J20" s="80"/>
      <c r="K20" s="80"/>
    </row>
    <row r="21" spans="1:11" ht="82.8" x14ac:dyDescent="0.3">
      <c r="A21" s="77">
        <v>19</v>
      </c>
      <c r="B21" s="78" t="str">
        <f>IFERROR(VLOOKUP(A21,'Product Backlog'!$A$2:$K$97,2,FALSE),"")</f>
        <v>La BD que almacena hidrometeorología no debe depender del software de hidrología, debe ser independiente</v>
      </c>
      <c r="C21" s="78" t="str">
        <f>IFERROR(VLOOKUP(A21,'Product Backlog'!$A$2:$K$97,3,FALSE),"")</f>
        <v>S5 -&gt; Agregar capas complementarias e integración con modelo de hidrología</v>
      </c>
      <c r="D21" s="87" t="s">
        <v>37</v>
      </c>
      <c r="E21" s="87" t="s">
        <v>347</v>
      </c>
      <c r="F21" s="88"/>
      <c r="G21" s="88"/>
      <c r="H21" s="88"/>
      <c r="I21" s="81" t="s">
        <v>43</v>
      </c>
      <c r="J21" s="80"/>
      <c r="K21" s="80"/>
    </row>
    <row r="22" spans="1:11" ht="82.8" x14ac:dyDescent="0.3">
      <c r="A22" s="77">
        <v>20</v>
      </c>
      <c r="B22" s="78" t="str">
        <f>IFERROR(VLOOKUP(A22,'Product Backlog'!$A$2:$K$97,2,FALSE),"")</f>
        <v>Me gustaría tener información referente al identificador de las estaciones</v>
      </c>
      <c r="C22" s="78" t="str">
        <f>IFERROR(VLOOKUP(A22,'Product Backlog'!$A$2:$K$97,3,FALSE),"")</f>
        <v>S5 -&gt; Agregar capas complementarias e integración con modelo de hidrología</v>
      </c>
      <c r="D22" s="87" t="s">
        <v>37</v>
      </c>
      <c r="E22" s="87" t="s">
        <v>347</v>
      </c>
      <c r="F22" s="88"/>
      <c r="G22" s="88"/>
      <c r="H22" s="88"/>
      <c r="I22" s="81" t="s">
        <v>43</v>
      </c>
      <c r="J22" s="80"/>
      <c r="K22" s="80"/>
    </row>
    <row r="23" spans="1:11" ht="82.8" x14ac:dyDescent="0.3">
      <c r="A23" s="77">
        <v>21</v>
      </c>
      <c r="B23" s="78" t="str">
        <f>IFERROR(VLOOKUP(A23,'Product Backlog'!$A$2:$K$97,2,FALSE),"")</f>
        <v>Queremos tener los metadatos de la información geográfica que identifiquemos</v>
      </c>
      <c r="C23" s="78" t="str">
        <f>IFERROR(VLOOKUP(A23,'Product Backlog'!$A$2:$K$97,3,FALSE),"")</f>
        <v>S5 -&gt; Agregar capas complementarias e integración con modelo de hidrología</v>
      </c>
      <c r="D23" s="87" t="s">
        <v>37</v>
      </c>
      <c r="E23" s="87" t="s">
        <v>347</v>
      </c>
      <c r="F23" s="88"/>
      <c r="G23" s="88"/>
      <c r="H23" s="88"/>
      <c r="I23" s="81" t="s">
        <v>43</v>
      </c>
      <c r="J23" s="80"/>
      <c r="K23" s="80"/>
    </row>
    <row r="24" spans="1:11" ht="69" x14ac:dyDescent="0.3">
      <c r="A24" s="77">
        <v>22</v>
      </c>
      <c r="B24" s="78" t="str">
        <f>IFERROR(VLOOKUP(A24,'Product Backlog'!$A$2:$K$97,2,FALSE),"")</f>
        <v>Quisiéramos tener un manual de usuarios de la BD
-carga de información
tipos de usuarios
características base</v>
      </c>
      <c r="C24" s="78" t="str">
        <f>IFERROR(VLOOKUP(A24,'Product Backlog'!$A$2:$K$97,3,FALSE),"")</f>
        <v>S8 -&gt; estabilización y entrenamiento usuarios finales</v>
      </c>
      <c r="D24" s="87"/>
      <c r="E24" s="87" t="s">
        <v>350</v>
      </c>
      <c r="F24" s="88"/>
      <c r="G24" s="88"/>
      <c r="H24" s="88"/>
      <c r="I24" s="81" t="s">
        <v>43</v>
      </c>
      <c r="J24" s="80"/>
      <c r="K24" s="80"/>
    </row>
    <row r="25" spans="1:11" ht="82.8" x14ac:dyDescent="0.3">
      <c r="A25" s="77">
        <v>23</v>
      </c>
      <c r="B25" s="78" t="str">
        <f>IFERROR(VLOOKUP(A25,'Product Backlog'!$A$2:$K$97,2,FALSE),"")</f>
        <v>Capas adicionales a incluir en la BD Geográfica 
-Clientes mercado No Regulado
-Cartera
-Facturación</v>
      </c>
      <c r="C25" s="78" t="str">
        <f>IFERROR(VLOOKUP(A25,'Product Backlog'!$A$2:$K$97,3,FALSE),"")</f>
        <v>S5 -&gt; Agregar capas complementarias e integración con modelo de hidrología</v>
      </c>
      <c r="D25" s="87"/>
      <c r="E25" s="87" t="s">
        <v>347</v>
      </c>
      <c r="F25" s="88"/>
      <c r="G25" s="88"/>
      <c r="H25" s="88"/>
      <c r="I25" s="81" t="s">
        <v>43</v>
      </c>
      <c r="J25" s="80"/>
      <c r="K25" s="80"/>
    </row>
    <row r="26" spans="1:11" ht="82.8" x14ac:dyDescent="0.3">
      <c r="A26" s="77">
        <v>24</v>
      </c>
      <c r="B26" s="78" t="str">
        <f>IFERROR(VLOOKUP(A26,'Product Backlog'!$A$2:$K$97,2,FALSE),"")</f>
        <v>La BD que almacena hidrometerología no debe depender del software de hidrología, debe ser independiente</v>
      </c>
      <c r="C26" s="78" t="str">
        <f>IFERROR(VLOOKUP(A26,'Product Backlog'!$A$2:$K$97,3,FALSE),"")</f>
        <v>S5 -&gt; Agregar capas complementarias e integración con modelo de hidrología</v>
      </c>
      <c r="D26" s="87" t="s">
        <v>37</v>
      </c>
      <c r="E26" s="87" t="s">
        <v>347</v>
      </c>
      <c r="F26" s="88"/>
      <c r="G26" s="88"/>
      <c r="H26" s="88"/>
      <c r="I26" s="81" t="s">
        <v>43</v>
      </c>
      <c r="J26" s="80"/>
      <c r="K26" s="80"/>
    </row>
    <row r="27" spans="1:11" ht="110.4" x14ac:dyDescent="0.3">
      <c r="A27" s="77">
        <v>25</v>
      </c>
      <c r="B27" s="78" t="str">
        <f>IFERROR(VLOOKUP(A27,'Product Backlog'!$A$2:$K$97,2,FALSE),"")</f>
        <v>tener acceso con LDAP a la base de datos</v>
      </c>
      <c r="C27" s="78" t="str">
        <f>IFERROR(VLOOKUP(A27,'Product Backlog'!$A$2:$K$97,3,FALSE),"")</f>
        <v xml:space="preserve">S1 -&gt; Arquitectura y Diseño de Modelo y Diccionario de datos, catalogo de objetos y metadatos </v>
      </c>
      <c r="D27" s="87" t="s">
        <v>36</v>
      </c>
      <c r="E27" s="87" t="s">
        <v>343</v>
      </c>
      <c r="F27" s="88"/>
      <c r="G27" s="88"/>
      <c r="H27" s="88">
        <v>0</v>
      </c>
      <c r="I27" s="81" t="s">
        <v>396</v>
      </c>
      <c r="J27" s="80"/>
      <c r="K27" s="80"/>
    </row>
    <row r="28" spans="1:11" ht="55.2" x14ac:dyDescent="0.3">
      <c r="A28" s="77">
        <v>26</v>
      </c>
      <c r="B28" s="78" t="str">
        <f>IFERROR(VLOOKUP(A28,'Product Backlog'!$A$2:$K$97,2,FALSE),"")</f>
        <v>Recopilar funciones y requerimientos de las areas( quienes son, que necesitan, frecuencia, gerencia) y mapear con roles definidos</v>
      </c>
      <c r="C28" s="78" t="str">
        <f>IFERROR(VLOOKUP(A28,'Product Backlog'!$A$2:$K$97,3,FALSE),"")</f>
        <v>S7 -&gt; Despliegue de solución</v>
      </c>
      <c r="D28" s="87" t="s">
        <v>38</v>
      </c>
      <c r="E28" s="87" t="s">
        <v>349</v>
      </c>
      <c r="F28" s="88"/>
      <c r="G28" s="88"/>
      <c r="H28" s="88"/>
      <c r="I28" s="81" t="s">
        <v>43</v>
      </c>
      <c r="J28" s="80"/>
      <c r="K28" s="80"/>
    </row>
    <row r="29" spans="1:11" ht="96.6" x14ac:dyDescent="0.3">
      <c r="A29" s="77">
        <v>27</v>
      </c>
      <c r="B29" s="78" t="str">
        <f>IFERROR(VLOOKUP(A29,'Product Backlog'!$A$2:$K$97,2,FALSE),"")</f>
        <v>Requerimos instalar la extensión de Postgis con todas sus dependencias dentro del servidor de base de datos entregado (en desarrollo)</v>
      </c>
      <c r="C29" s="78" t="str">
        <f>IFERROR(VLOOKUP(A29,'Product Backlog'!$A$2:$K$97,3,FALSE),"")</f>
        <v xml:space="preserve">S2 -&gt; Implementación de Modelo y Diccionario de datos, catalogo de objetos y metadatos </v>
      </c>
      <c r="D29" s="87"/>
      <c r="E29" s="87"/>
      <c r="F29" s="88"/>
      <c r="G29" s="88"/>
      <c r="H29" s="88"/>
      <c r="I29" s="81"/>
      <c r="J29" s="80"/>
      <c r="K29" s="80"/>
    </row>
    <row r="30" spans="1:11" ht="96.6" x14ac:dyDescent="0.3">
      <c r="A30" s="77">
        <v>28</v>
      </c>
      <c r="B30" s="78" t="str">
        <f>IFERROR(VLOOKUP(A30,'Product Backlog'!$A$2:$K$97,2,FALSE),"")</f>
        <v>Requerimos un modelo de Metadatos que permita conocer el origen, características y custodia de la información</v>
      </c>
      <c r="C30" s="78" t="str">
        <f>IFERROR(VLOOKUP(A30,'Product Backlog'!$A$2:$K$97,3,FALSE),"")</f>
        <v xml:space="preserve">S2 -&gt; Implementación de Modelo y Diccionario de datos, catalogo de objetos y metadatos </v>
      </c>
      <c r="D30" s="87"/>
      <c r="E30" s="87"/>
      <c r="F30" s="88"/>
      <c r="G30" s="88"/>
      <c r="H30" s="88"/>
      <c r="I30" s="81"/>
      <c r="J30" s="80"/>
      <c r="K30" s="80"/>
    </row>
    <row r="31" spans="1:11" ht="96.6" x14ac:dyDescent="0.3">
      <c r="A31" s="77">
        <v>29</v>
      </c>
      <c r="B31" s="78" t="str">
        <f>IFERROR(VLOOKUP(A31,'Product Backlog'!$A$2:$K$97,2,FALSE),"")</f>
        <v>Requerimos una definición de la información adicional incluyendo proyectos y temporal.</v>
      </c>
      <c r="C31" s="78" t="str">
        <f>IFERROR(VLOOKUP(A31,'Product Backlog'!$A$2:$K$97,3,FALSE),"")</f>
        <v xml:space="preserve">S2 -&gt; Implementación de Modelo y Diccionario de datos, catalogo de objetos y metadatos </v>
      </c>
      <c r="D31" s="87"/>
      <c r="E31" s="87"/>
      <c r="F31" s="88"/>
      <c r="G31" s="88"/>
      <c r="H31" s="88"/>
      <c r="I31" s="81"/>
      <c r="J31" s="80"/>
      <c r="K31" s="80"/>
    </row>
    <row r="32" spans="1:11" ht="96.6" x14ac:dyDescent="0.3">
      <c r="A32" s="77">
        <v>30</v>
      </c>
      <c r="B32" s="78" t="str">
        <f>IFERROR(VLOOKUP(A32,'Product Backlog'!$A$2:$K$97,2,FALSE),"")</f>
        <v xml:space="preserve">Se requiere un plan de integración para definir qué capas, metadatos, van a ser construidos, cargados y entregados. </v>
      </c>
      <c r="C32" s="78" t="str">
        <f>IFERROR(VLOOKUP(A32,'Product Backlog'!$A$2:$K$97,3,FALSE),"")</f>
        <v xml:space="preserve">S2 -&gt; Implementación de Modelo y Diccionario de datos, catalogo de objetos y metadatos </v>
      </c>
      <c r="D32" s="87"/>
      <c r="E32" s="87"/>
      <c r="F32" s="88"/>
      <c r="G32" s="88"/>
      <c r="H32" s="88"/>
      <c r="I32" s="81"/>
      <c r="J32" s="80"/>
      <c r="K32" s="80"/>
    </row>
    <row r="33" spans="1:11" ht="96.6" x14ac:dyDescent="0.3">
      <c r="A33" s="77">
        <v>31</v>
      </c>
      <c r="B33" s="78" t="str">
        <f>IFERROR(VLOOKUP(A33,'Product Backlog'!$A$2:$K$97,2,FALSE),"")</f>
        <v>Requerimos que las capas de información se encuentren en correcta georreferenciación, con los atributos definidos en el catálogo de objetos, y sin errores de topología</v>
      </c>
      <c r="C33" s="78" t="str">
        <f>IFERROR(VLOOKUP(A33,'Product Backlog'!$A$2:$K$97,3,FALSE),"")</f>
        <v xml:space="preserve">S2 -&gt; Implementación de Modelo y Diccionario de datos, catalogo de objetos y metadatos </v>
      </c>
      <c r="D33" s="87"/>
      <c r="E33" s="87"/>
      <c r="F33" s="88"/>
      <c r="G33" s="88"/>
      <c r="H33" s="88"/>
      <c r="I33" s="81"/>
      <c r="J33" s="80"/>
      <c r="K33" s="80"/>
    </row>
    <row r="34" spans="1:11" ht="13.8" x14ac:dyDescent="0.3">
      <c r="A34" s="77">
        <v>32</v>
      </c>
      <c r="B34" s="78" t="str">
        <f>IFERROR(VLOOKUP(A34,'Product Backlog'!$A$2:$K$97,2,FALSE),"")</f>
        <v/>
      </c>
      <c r="C34" s="78" t="str">
        <f>IFERROR(VLOOKUP(A34,'Product Backlog'!$A$2:$K$97,3,FALSE),"")</f>
        <v/>
      </c>
      <c r="D34" s="87"/>
      <c r="E34" s="87"/>
      <c r="F34" s="88"/>
      <c r="G34" s="88"/>
      <c r="H34" s="88"/>
      <c r="I34" s="81"/>
      <c r="J34" s="80"/>
      <c r="K34" s="80"/>
    </row>
    <row r="35" spans="1:11" ht="13.8" x14ac:dyDescent="0.3">
      <c r="A35" s="77">
        <v>33</v>
      </c>
      <c r="B35" s="78" t="str">
        <f>IFERROR(VLOOKUP(A35,'Product Backlog'!$A$2:$K$97,2,FALSE),"")</f>
        <v/>
      </c>
      <c r="C35" s="78" t="str">
        <f>IFERROR(VLOOKUP(A35,'Product Backlog'!$A$2:$K$97,3,FALSE),"")</f>
        <v/>
      </c>
      <c r="D35" s="87"/>
      <c r="E35" s="87"/>
      <c r="F35" s="88"/>
      <c r="G35" s="88"/>
      <c r="H35" s="88"/>
      <c r="I35" s="81"/>
      <c r="J35" s="80"/>
      <c r="K35" s="80"/>
    </row>
    <row r="36" spans="1:11" ht="13.8" x14ac:dyDescent="0.3">
      <c r="A36" s="77">
        <v>34</v>
      </c>
      <c r="B36" s="78" t="str">
        <f>IFERROR(VLOOKUP(A36,'Product Backlog'!$A$2:$K$97,2,FALSE),"")</f>
        <v/>
      </c>
      <c r="C36" s="78" t="str">
        <f>IFERROR(VLOOKUP(A36,'Product Backlog'!$A$2:$K$97,3,FALSE),"")</f>
        <v/>
      </c>
      <c r="D36" s="87"/>
      <c r="E36" s="87"/>
      <c r="F36" s="88"/>
      <c r="G36" s="88"/>
      <c r="H36" s="88"/>
      <c r="I36" s="81"/>
      <c r="J36" s="80"/>
      <c r="K36" s="80"/>
    </row>
    <row r="37" spans="1:11" ht="13.8" x14ac:dyDescent="0.3">
      <c r="A37" s="77">
        <v>35</v>
      </c>
      <c r="B37" s="78" t="str">
        <f>IFERROR(VLOOKUP(A37,'Product Backlog'!$A$2:$K$97,2,FALSE),"")</f>
        <v/>
      </c>
      <c r="C37" s="78" t="str">
        <f>IFERROR(VLOOKUP(A37,'Product Backlog'!$A$2:$K$97,3,FALSE),"")</f>
        <v/>
      </c>
      <c r="D37" s="87"/>
      <c r="E37" s="87"/>
      <c r="F37" s="88"/>
      <c r="G37" s="88"/>
      <c r="H37" s="88"/>
      <c r="I37" s="81"/>
      <c r="J37" s="80"/>
      <c r="K37" s="80"/>
    </row>
    <row r="38" spans="1:11" ht="13.8" x14ac:dyDescent="0.3">
      <c r="A38" s="77">
        <v>36</v>
      </c>
      <c r="B38" s="78" t="str">
        <f>IFERROR(VLOOKUP(A38,'Product Backlog'!$A$2:$K$97,2,FALSE),"")</f>
        <v/>
      </c>
      <c r="C38" s="78" t="str">
        <f>IFERROR(VLOOKUP(A38,'Product Backlog'!$A$2:$K$97,3,FALSE),"")</f>
        <v/>
      </c>
      <c r="D38" s="87"/>
      <c r="E38" s="87"/>
      <c r="F38" s="88"/>
      <c r="G38" s="88"/>
      <c r="H38" s="88"/>
      <c r="I38" s="81"/>
      <c r="J38" s="80"/>
      <c r="K38" s="80"/>
    </row>
    <row r="39" spans="1:11" ht="13.8" x14ac:dyDescent="0.3">
      <c r="A39" s="77">
        <v>37</v>
      </c>
      <c r="B39" s="78" t="str">
        <f>IFERROR(VLOOKUP(A39,'Product Backlog'!$A$2:$K$97,2,FALSE),"")</f>
        <v/>
      </c>
      <c r="C39" s="78" t="str">
        <f>IFERROR(VLOOKUP(A39,'Product Backlog'!$A$2:$K$97,3,FALSE),"")</f>
        <v/>
      </c>
      <c r="D39" s="87"/>
      <c r="E39" s="87"/>
      <c r="F39" s="88"/>
      <c r="G39" s="88"/>
      <c r="H39" s="88"/>
      <c r="I39" s="81"/>
      <c r="J39" s="80"/>
      <c r="K39" s="80"/>
    </row>
    <row r="40" spans="1:11" ht="13.8" x14ac:dyDescent="0.3">
      <c r="A40" s="77">
        <v>38</v>
      </c>
      <c r="B40" s="78" t="str">
        <f>IFERROR(VLOOKUP(A40,'Product Backlog'!$A$2:$K$97,2,FALSE),"")</f>
        <v/>
      </c>
      <c r="C40" s="78" t="str">
        <f>IFERROR(VLOOKUP(A40,'Product Backlog'!$A$2:$K$97,3,FALSE),"")</f>
        <v/>
      </c>
      <c r="D40" s="87"/>
      <c r="E40" s="87"/>
      <c r="F40" s="88"/>
      <c r="G40" s="88"/>
      <c r="H40" s="88"/>
      <c r="I40" s="81"/>
      <c r="J40" s="80"/>
      <c r="K40" s="80"/>
    </row>
    <row r="41" spans="1:11" ht="13.8" x14ac:dyDescent="0.3">
      <c r="A41" s="77">
        <v>39</v>
      </c>
      <c r="B41" s="78" t="str">
        <f>IFERROR(VLOOKUP(A41,'Product Backlog'!$A$2:$K$97,2,FALSE),"")</f>
        <v/>
      </c>
      <c r="C41" s="78" t="str">
        <f>IFERROR(VLOOKUP(A41,'Product Backlog'!$A$2:$K$97,3,FALSE),"")</f>
        <v/>
      </c>
      <c r="D41" s="87"/>
      <c r="E41" s="87"/>
      <c r="F41" s="88"/>
      <c r="G41" s="88"/>
      <c r="H41" s="88"/>
      <c r="I41" s="81"/>
      <c r="J41" s="80"/>
      <c r="K41" s="80"/>
    </row>
    <row r="42" spans="1:11" ht="13.8" x14ac:dyDescent="0.3">
      <c r="A42" s="77">
        <v>40</v>
      </c>
      <c r="B42" s="78" t="str">
        <f>IFERROR(VLOOKUP(A42,'Product Backlog'!$A$2:$K$97,2,FALSE),"")</f>
        <v/>
      </c>
      <c r="C42" s="78" t="str">
        <f>IFERROR(VLOOKUP(A42,'Product Backlog'!$A$2:$K$97,3,FALSE),"")</f>
        <v/>
      </c>
      <c r="D42" s="87"/>
      <c r="E42" s="87"/>
      <c r="F42" s="88"/>
      <c r="G42" s="88"/>
      <c r="H42" s="88"/>
      <c r="I42" s="81"/>
      <c r="J42" s="80"/>
      <c r="K42" s="80"/>
    </row>
    <row r="43" spans="1:11" ht="13.8" x14ac:dyDescent="0.3">
      <c r="A43" s="77">
        <v>41</v>
      </c>
      <c r="B43" s="78" t="str">
        <f>IFERROR(VLOOKUP(A43,'Product Backlog'!$A$2:$K$97,2,FALSE),"")</f>
        <v/>
      </c>
      <c r="C43" s="78" t="str">
        <f>IFERROR(VLOOKUP(A43,'Product Backlog'!$A$2:$K$97,3,FALSE),"")</f>
        <v/>
      </c>
      <c r="D43" s="87"/>
      <c r="E43" s="87"/>
      <c r="F43" s="88"/>
      <c r="G43" s="88"/>
      <c r="H43" s="88"/>
      <c r="I43" s="81"/>
      <c r="J43" s="80"/>
      <c r="K43" s="80"/>
    </row>
    <row r="44" spans="1:11" ht="13.8" x14ac:dyDescent="0.3">
      <c r="A44" s="77">
        <v>42</v>
      </c>
      <c r="B44" s="78" t="str">
        <f>IFERROR(VLOOKUP(A44,'Product Backlog'!$A$2:$K$97,2,FALSE),"")</f>
        <v/>
      </c>
      <c r="C44" s="78" t="str">
        <f>IFERROR(VLOOKUP(A44,'Product Backlog'!$A$2:$K$97,3,FALSE),"")</f>
        <v/>
      </c>
      <c r="D44" s="87"/>
      <c r="E44" s="87"/>
      <c r="F44" s="88"/>
      <c r="G44" s="88"/>
      <c r="H44" s="88"/>
      <c r="I44" s="81"/>
      <c r="J44" s="80"/>
      <c r="K44" s="80"/>
    </row>
    <row r="45" spans="1:11" ht="13.8" x14ac:dyDescent="0.3">
      <c r="A45" s="77">
        <v>43</v>
      </c>
      <c r="B45" s="78" t="str">
        <f>IFERROR(VLOOKUP(A45,'Product Backlog'!$A$2:$K$97,2,FALSE),"")</f>
        <v/>
      </c>
      <c r="C45" s="78" t="str">
        <f>IFERROR(VLOOKUP(A45,'Product Backlog'!$A$2:$K$97,3,FALSE),"")</f>
        <v/>
      </c>
      <c r="D45" s="87"/>
      <c r="E45" s="87"/>
      <c r="F45" s="88"/>
      <c r="G45" s="88"/>
      <c r="H45" s="88"/>
      <c r="I45" s="81"/>
      <c r="J45" s="80"/>
      <c r="K45" s="80"/>
    </row>
    <row r="46" spans="1:11" ht="13.8" x14ac:dyDescent="0.3">
      <c r="A46" s="77">
        <v>44</v>
      </c>
      <c r="B46" s="78" t="str">
        <f>IFERROR(VLOOKUP(A46,'Product Backlog'!$A$2:$K$97,2,FALSE),"")</f>
        <v/>
      </c>
      <c r="C46" s="78" t="str">
        <f>IFERROR(VLOOKUP(A46,'Product Backlog'!$A$2:$K$97,3,FALSE),"")</f>
        <v/>
      </c>
      <c r="D46" s="87"/>
      <c r="E46" s="87"/>
      <c r="F46" s="88"/>
      <c r="G46" s="88"/>
      <c r="H46" s="88"/>
      <c r="I46" s="81"/>
      <c r="J46" s="80"/>
      <c r="K46" s="80"/>
    </row>
    <row r="47" spans="1:11" ht="13.8" x14ac:dyDescent="0.3">
      <c r="A47" s="77">
        <v>45</v>
      </c>
      <c r="B47" s="78" t="str">
        <f>IFERROR(VLOOKUP(A47,'Product Backlog'!$A$2:$K$97,2,FALSE),"")</f>
        <v/>
      </c>
      <c r="C47" s="78" t="str">
        <f>IFERROR(VLOOKUP(A47,'Product Backlog'!$A$2:$K$97,3,FALSE),"")</f>
        <v/>
      </c>
      <c r="D47" s="87"/>
      <c r="E47" s="87"/>
      <c r="F47" s="88"/>
      <c r="G47" s="88"/>
      <c r="H47" s="88"/>
      <c r="I47" s="81"/>
      <c r="J47" s="80"/>
      <c r="K47" s="80"/>
    </row>
    <row r="48" spans="1:11" ht="13.8" x14ac:dyDescent="0.3">
      <c r="A48" s="77">
        <v>46</v>
      </c>
      <c r="B48" s="78" t="str">
        <f>IFERROR(VLOOKUP(A48,'Product Backlog'!$A$2:$K$97,2,FALSE),"")</f>
        <v/>
      </c>
      <c r="C48" s="78" t="str">
        <f>IFERROR(VLOOKUP(A48,'Product Backlog'!$A$2:$K$97,3,FALSE),"")</f>
        <v/>
      </c>
      <c r="D48" s="87"/>
      <c r="E48" s="87"/>
      <c r="F48" s="88"/>
      <c r="G48" s="88"/>
      <c r="H48" s="88"/>
      <c r="I48" s="81"/>
      <c r="J48" s="80"/>
      <c r="K48" s="80"/>
    </row>
    <row r="49" spans="1:11" ht="13.8" x14ac:dyDescent="0.3">
      <c r="A49" s="77">
        <v>47</v>
      </c>
      <c r="B49" s="78" t="str">
        <f>IFERROR(VLOOKUP(A49,'Product Backlog'!$A$2:$K$97,2,FALSE),"")</f>
        <v/>
      </c>
      <c r="C49" s="78" t="str">
        <f>IFERROR(VLOOKUP(A49,'Product Backlog'!$A$2:$K$97,3,FALSE),"")</f>
        <v/>
      </c>
      <c r="D49" s="87"/>
      <c r="E49" s="87"/>
      <c r="F49" s="88"/>
      <c r="G49" s="88"/>
      <c r="H49" s="88"/>
      <c r="I49" s="81"/>
      <c r="J49" s="80"/>
      <c r="K49" s="80"/>
    </row>
    <row r="50" spans="1:11" ht="13.8" x14ac:dyDescent="0.3">
      <c r="A50" s="77">
        <v>48</v>
      </c>
      <c r="B50" s="78" t="str">
        <f>IFERROR(VLOOKUP(A50,'Product Backlog'!$A$2:$K$97,2,FALSE),"")</f>
        <v/>
      </c>
      <c r="C50" s="78" t="str">
        <f>IFERROR(VLOOKUP(A50,'Product Backlog'!$A$2:$K$97,3,FALSE),"")</f>
        <v/>
      </c>
      <c r="D50" s="87"/>
      <c r="E50" s="87"/>
      <c r="F50" s="88"/>
      <c r="G50" s="88"/>
      <c r="H50" s="88"/>
      <c r="I50" s="81"/>
      <c r="J50" s="80"/>
      <c r="K50" s="80"/>
    </row>
    <row r="51" spans="1:11" ht="13.8" x14ac:dyDescent="0.3">
      <c r="A51" s="77">
        <v>49</v>
      </c>
      <c r="B51" s="78" t="str">
        <f>IFERROR(VLOOKUP(A51,'Product Backlog'!$A$2:$K$97,2,FALSE),"")</f>
        <v/>
      </c>
      <c r="C51" s="78" t="str">
        <f>IFERROR(VLOOKUP(A51,'Product Backlog'!$A$2:$K$97,3,FALSE),"")</f>
        <v/>
      </c>
      <c r="D51" s="87"/>
      <c r="E51" s="87"/>
      <c r="F51" s="88"/>
      <c r="G51" s="88"/>
      <c r="H51" s="88"/>
      <c r="I51" s="81"/>
      <c r="J51" s="80"/>
      <c r="K51" s="80"/>
    </row>
    <row r="52" spans="1:11" ht="13.8" x14ac:dyDescent="0.3">
      <c r="A52" s="77">
        <v>50</v>
      </c>
      <c r="B52" s="78" t="str">
        <f>IFERROR(VLOOKUP(A52,'Product Backlog'!$A$2:$K$97,2,FALSE),"")</f>
        <v/>
      </c>
      <c r="C52" s="78" t="str">
        <f>IFERROR(VLOOKUP(A52,'Product Backlog'!$A$2:$K$97,3,FALSE),"")</f>
        <v/>
      </c>
      <c r="D52" s="87"/>
      <c r="E52" s="87"/>
      <c r="F52" s="88"/>
      <c r="G52" s="88"/>
      <c r="H52" s="88"/>
      <c r="I52" s="81"/>
      <c r="J52" s="80"/>
      <c r="K52" s="80"/>
    </row>
    <row r="53" spans="1:11" ht="13.8" x14ac:dyDescent="0.3">
      <c r="A53" s="77">
        <v>51</v>
      </c>
      <c r="B53" s="78" t="str">
        <f>IFERROR(VLOOKUP(A53,'Product Backlog'!$A$2:$K$97,2,FALSE),"")</f>
        <v/>
      </c>
      <c r="C53" s="78" t="str">
        <f>IFERROR(VLOOKUP(A53,'Product Backlog'!$A$2:$K$97,3,FALSE),"")</f>
        <v/>
      </c>
      <c r="D53" s="87"/>
      <c r="E53" s="87"/>
      <c r="F53" s="88"/>
      <c r="G53" s="88"/>
      <c r="H53" s="88"/>
      <c r="I53" s="81"/>
      <c r="J53" s="80"/>
      <c r="K53" s="80"/>
    </row>
    <row r="54" spans="1:11" ht="13.8" x14ac:dyDescent="0.3">
      <c r="A54" s="77">
        <v>52</v>
      </c>
      <c r="B54" s="78" t="str">
        <f>IFERROR(VLOOKUP(A54,'Product Backlog'!$A$2:$K$97,2,FALSE),"")</f>
        <v/>
      </c>
      <c r="C54" s="78" t="str">
        <f>IFERROR(VLOOKUP(A54,'Product Backlog'!$A$2:$K$97,3,FALSE),"")</f>
        <v/>
      </c>
      <c r="D54" s="87"/>
      <c r="E54" s="87"/>
      <c r="F54" s="88"/>
      <c r="G54" s="88"/>
      <c r="H54" s="88"/>
      <c r="I54" s="81"/>
      <c r="J54" s="80"/>
      <c r="K54" s="80"/>
    </row>
    <row r="55" spans="1:11" ht="13.8" x14ac:dyDescent="0.3">
      <c r="A55" s="77">
        <v>53</v>
      </c>
      <c r="B55" s="78" t="str">
        <f>IFERROR(VLOOKUP(A55,'Product Backlog'!$A$2:$K$97,2,FALSE),"")</f>
        <v/>
      </c>
      <c r="C55" s="78" t="str">
        <f>IFERROR(VLOOKUP(A55,'Product Backlog'!$A$2:$K$97,3,FALSE),"")</f>
        <v/>
      </c>
      <c r="D55" s="87"/>
      <c r="E55" s="87"/>
      <c r="F55" s="88"/>
      <c r="G55" s="88"/>
      <c r="H55" s="88"/>
      <c r="I55" s="81"/>
      <c r="J55" s="80"/>
      <c r="K55" s="80"/>
    </row>
    <row r="56" spans="1:11" ht="13.8" x14ac:dyDescent="0.3">
      <c r="A56" s="77">
        <v>54</v>
      </c>
      <c r="B56" s="78" t="str">
        <f>IFERROR(VLOOKUP(A56,'Product Backlog'!$A$2:$K$97,2,FALSE),"")</f>
        <v/>
      </c>
      <c r="C56" s="78" t="str">
        <f>IFERROR(VLOOKUP(A56,'Product Backlog'!$A$2:$K$97,3,FALSE),"")</f>
        <v/>
      </c>
      <c r="D56" s="87"/>
      <c r="E56" s="87"/>
      <c r="F56" s="88"/>
      <c r="G56" s="88"/>
      <c r="H56" s="88"/>
      <c r="I56" s="81"/>
      <c r="J56" s="80"/>
      <c r="K56" s="80"/>
    </row>
    <row r="57" spans="1:11" ht="13.8" x14ac:dyDescent="0.3">
      <c r="A57" s="77">
        <v>55</v>
      </c>
      <c r="B57" s="78" t="str">
        <f>IFERROR(VLOOKUP(A57,'Product Backlog'!$A$2:$K$97,2,FALSE),"")</f>
        <v/>
      </c>
      <c r="C57" s="78" t="str">
        <f>IFERROR(VLOOKUP(A57,'Product Backlog'!$A$2:$K$97,3,FALSE),"")</f>
        <v/>
      </c>
      <c r="D57" s="87"/>
      <c r="E57" s="87"/>
      <c r="F57" s="88"/>
      <c r="G57" s="88"/>
      <c r="H57" s="88"/>
      <c r="I57" s="81"/>
      <c r="J57" s="80"/>
      <c r="K57" s="80"/>
    </row>
    <row r="58" spans="1:11" ht="13.8" x14ac:dyDescent="0.3">
      <c r="A58" s="77">
        <v>56</v>
      </c>
      <c r="B58" s="78" t="str">
        <f>IFERROR(VLOOKUP(A58,'Product Backlog'!$A$2:$K$97,2,FALSE),"")</f>
        <v/>
      </c>
      <c r="C58" s="78" t="str">
        <f>IFERROR(VLOOKUP(A58,'Product Backlog'!$A$2:$K$97,3,FALSE),"")</f>
        <v/>
      </c>
      <c r="D58" s="87"/>
      <c r="E58" s="87"/>
      <c r="F58" s="88"/>
      <c r="G58" s="88"/>
      <c r="H58" s="88"/>
      <c r="I58" s="81"/>
      <c r="J58" s="80"/>
      <c r="K58" s="80"/>
    </row>
    <row r="59" spans="1:11" ht="13.8" x14ac:dyDescent="0.3">
      <c r="A59" s="77">
        <v>57</v>
      </c>
      <c r="B59" s="78" t="str">
        <f>IFERROR(VLOOKUP(A59,'Product Backlog'!$A$2:$K$97,2,FALSE),"")</f>
        <v/>
      </c>
      <c r="C59" s="78" t="str">
        <f>IFERROR(VLOOKUP(A59,'Product Backlog'!$A$2:$K$97,3,FALSE),"")</f>
        <v/>
      </c>
      <c r="D59" s="87"/>
      <c r="E59" s="87"/>
      <c r="F59" s="88"/>
      <c r="G59" s="88"/>
      <c r="H59" s="88"/>
      <c r="I59" s="81"/>
      <c r="J59" s="80"/>
      <c r="K59" s="80"/>
    </row>
    <row r="60" spans="1:11" ht="13.8" x14ac:dyDescent="0.3">
      <c r="A60" s="77">
        <v>58</v>
      </c>
      <c r="B60" s="78" t="str">
        <f>IFERROR(VLOOKUP(A60,'Product Backlog'!$A$2:$K$97,2,FALSE),"")</f>
        <v/>
      </c>
      <c r="C60" s="78" t="str">
        <f>IFERROR(VLOOKUP(A60,'Product Backlog'!$A$2:$K$97,3,FALSE),"")</f>
        <v/>
      </c>
      <c r="D60" s="87"/>
      <c r="E60" s="87"/>
      <c r="F60" s="88"/>
      <c r="G60" s="88"/>
      <c r="H60" s="88"/>
      <c r="I60" s="81"/>
      <c r="J60" s="80"/>
      <c r="K60" s="80"/>
    </row>
    <row r="61" spans="1:11" ht="13.8" x14ac:dyDescent="0.3">
      <c r="A61" s="77">
        <v>59</v>
      </c>
      <c r="B61" s="78" t="str">
        <f>IFERROR(VLOOKUP(A61,'Product Backlog'!$A$2:$K$97,2,FALSE),"")</f>
        <v/>
      </c>
      <c r="C61" s="78" t="str">
        <f>IFERROR(VLOOKUP(A61,'Product Backlog'!$A$2:$K$97,3,FALSE),"")</f>
        <v/>
      </c>
      <c r="D61" s="87"/>
      <c r="E61" s="87"/>
      <c r="F61" s="88"/>
      <c r="G61" s="88"/>
      <c r="H61" s="88"/>
      <c r="I61" s="81"/>
      <c r="J61" s="80"/>
      <c r="K61" s="80"/>
    </row>
    <row r="62" spans="1:11" ht="13.8" x14ac:dyDescent="0.3">
      <c r="A62" s="77">
        <v>60</v>
      </c>
      <c r="B62" s="78" t="str">
        <f>IFERROR(VLOOKUP(A62,'Product Backlog'!$A$2:$K$97,2,FALSE),"")</f>
        <v/>
      </c>
      <c r="C62" s="78" t="str">
        <f>IFERROR(VLOOKUP(A62,'Product Backlog'!$A$2:$K$97,3,FALSE),"")</f>
        <v/>
      </c>
      <c r="D62" s="87"/>
      <c r="E62" s="87"/>
      <c r="F62" s="88"/>
      <c r="G62" s="88"/>
      <c r="H62" s="88"/>
      <c r="I62" s="81"/>
      <c r="J62" s="80"/>
      <c r="K62" s="80"/>
    </row>
    <row r="63" spans="1:11" ht="13.8" x14ac:dyDescent="0.3">
      <c r="A63" s="77">
        <v>61</v>
      </c>
      <c r="B63" s="78" t="str">
        <f>IFERROR(VLOOKUP(A63,'Product Backlog'!$A$2:$K$97,2,FALSE),"")</f>
        <v/>
      </c>
      <c r="C63" s="78" t="str">
        <f>IFERROR(VLOOKUP(A63,'Product Backlog'!$A$2:$K$97,3,FALSE),"")</f>
        <v/>
      </c>
      <c r="D63" s="87"/>
      <c r="E63" s="87"/>
      <c r="F63" s="88"/>
      <c r="G63" s="88"/>
      <c r="H63" s="88"/>
      <c r="I63" s="81"/>
      <c r="J63" s="80"/>
      <c r="K63" s="80"/>
    </row>
    <row r="64" spans="1:11" ht="13.8" x14ac:dyDescent="0.3">
      <c r="A64" s="77">
        <v>62</v>
      </c>
      <c r="B64" s="78" t="str">
        <f>IFERROR(VLOOKUP(A64,'Product Backlog'!$A$2:$K$97,2,FALSE),"")</f>
        <v/>
      </c>
      <c r="C64" s="78" t="str">
        <f>IFERROR(VLOOKUP(A64,'Product Backlog'!$A$2:$K$97,3,FALSE),"")</f>
        <v/>
      </c>
      <c r="D64" s="87"/>
      <c r="E64" s="87"/>
      <c r="F64" s="88"/>
      <c r="G64" s="88"/>
      <c r="H64" s="88"/>
      <c r="I64" s="81"/>
      <c r="J64" s="80"/>
      <c r="K64" s="80"/>
    </row>
    <row r="65" spans="1:11" ht="13.8" x14ac:dyDescent="0.3">
      <c r="A65" s="77">
        <v>63</v>
      </c>
      <c r="B65" s="78" t="str">
        <f>IFERROR(VLOOKUP(A65,'Product Backlog'!$A$2:$K$97,2,FALSE),"")</f>
        <v/>
      </c>
      <c r="C65" s="78" t="str">
        <f>IFERROR(VLOOKUP(A65,'Product Backlog'!$A$2:$K$97,3,FALSE),"")</f>
        <v/>
      </c>
      <c r="D65" s="87"/>
      <c r="E65" s="87"/>
      <c r="F65" s="88"/>
      <c r="G65" s="88"/>
      <c r="H65" s="88"/>
      <c r="I65" s="81"/>
      <c r="J65" s="80"/>
      <c r="K65" s="80"/>
    </row>
    <row r="66" spans="1:11" ht="13.8" x14ac:dyDescent="0.3">
      <c r="A66" s="77">
        <v>64</v>
      </c>
      <c r="B66" s="78" t="str">
        <f>IFERROR(VLOOKUP(A66,'Product Backlog'!$A$2:$K$97,2,FALSE),"")</f>
        <v/>
      </c>
      <c r="C66" s="78" t="str">
        <f>IFERROR(VLOOKUP(A66,'Product Backlog'!$A$2:$K$97,3,FALSE),"")</f>
        <v/>
      </c>
      <c r="D66" s="87"/>
      <c r="E66" s="87"/>
      <c r="F66" s="88"/>
      <c r="G66" s="88"/>
      <c r="H66" s="88"/>
      <c r="I66" s="81"/>
      <c r="J66" s="80"/>
      <c r="K66" s="80"/>
    </row>
    <row r="67" spans="1:11" ht="13.8" x14ac:dyDescent="0.3">
      <c r="A67" s="77">
        <v>65</v>
      </c>
      <c r="B67" s="78" t="str">
        <f>IFERROR(VLOOKUP(A67,'Product Backlog'!$A$2:$K$97,2,FALSE),"")</f>
        <v/>
      </c>
      <c r="C67" s="78" t="str">
        <f>IFERROR(VLOOKUP(A67,'Product Backlog'!$A$2:$K$97,3,FALSE),"")</f>
        <v/>
      </c>
      <c r="D67" s="87"/>
      <c r="E67" s="87"/>
      <c r="F67" s="88"/>
      <c r="G67" s="88"/>
      <c r="H67" s="88"/>
      <c r="I67" s="81"/>
      <c r="J67" s="80"/>
      <c r="K67" s="80"/>
    </row>
    <row r="68" spans="1:11" ht="13.8" x14ac:dyDescent="0.3">
      <c r="A68" s="77">
        <v>66</v>
      </c>
      <c r="B68" s="78" t="str">
        <f>IFERROR(VLOOKUP(A68,'Product Backlog'!$A$2:$K$97,2,FALSE),"")</f>
        <v/>
      </c>
      <c r="C68" s="78" t="str">
        <f>IFERROR(VLOOKUP(A68,'Product Backlog'!$A$2:$K$97,3,FALSE),"")</f>
        <v/>
      </c>
      <c r="D68" s="87"/>
      <c r="E68" s="87"/>
      <c r="F68" s="88"/>
      <c r="G68" s="88"/>
      <c r="H68" s="88"/>
      <c r="I68" s="81"/>
      <c r="J68" s="80"/>
      <c r="K68" s="80"/>
    </row>
    <row r="69" spans="1:11" ht="13.8" x14ac:dyDescent="0.3">
      <c r="A69" s="77">
        <v>67</v>
      </c>
      <c r="B69" s="78" t="str">
        <f>IFERROR(VLOOKUP(A69,'Product Backlog'!$A$2:$K$97,2,FALSE),"")</f>
        <v/>
      </c>
      <c r="C69" s="78" t="str">
        <f>IFERROR(VLOOKUP(A69,'Product Backlog'!$A$2:$K$97,3,FALSE),"")</f>
        <v/>
      </c>
      <c r="D69" s="87"/>
      <c r="E69" s="87"/>
      <c r="F69" s="88"/>
      <c r="G69" s="88"/>
      <c r="H69" s="88"/>
      <c r="I69" s="81"/>
      <c r="J69" s="80"/>
      <c r="K69" s="80"/>
    </row>
    <row r="70" spans="1:11" ht="13.8" x14ac:dyDescent="0.3">
      <c r="A70" s="77">
        <v>68</v>
      </c>
      <c r="B70" s="78" t="str">
        <f>IFERROR(VLOOKUP(A70,'Product Backlog'!$A$2:$K$97,2,FALSE),"")</f>
        <v/>
      </c>
      <c r="C70" s="78" t="str">
        <f>IFERROR(VLOOKUP(A70,'Product Backlog'!$A$2:$K$97,3,FALSE),"")</f>
        <v/>
      </c>
      <c r="D70" s="87"/>
      <c r="E70" s="87"/>
      <c r="F70" s="88"/>
      <c r="G70" s="88"/>
      <c r="H70" s="88"/>
      <c r="I70" s="81"/>
      <c r="J70" s="80"/>
      <c r="K70" s="80"/>
    </row>
    <row r="71" spans="1:11" ht="13.8" x14ac:dyDescent="0.3">
      <c r="A71" s="77">
        <v>69</v>
      </c>
      <c r="B71" s="78" t="str">
        <f>IFERROR(VLOOKUP(A71,'Product Backlog'!$A$2:$K$97,2,FALSE),"")</f>
        <v/>
      </c>
      <c r="C71" s="78" t="str">
        <f>IFERROR(VLOOKUP(A71,'Product Backlog'!$A$2:$K$97,3,FALSE),"")</f>
        <v/>
      </c>
      <c r="D71" s="87"/>
      <c r="E71" s="87"/>
      <c r="F71" s="88"/>
      <c r="G71" s="88"/>
      <c r="H71" s="88"/>
      <c r="I71" s="81"/>
      <c r="J71" s="80"/>
      <c r="K71" s="80"/>
    </row>
    <row r="72" spans="1:11" ht="13.8" x14ac:dyDescent="0.3">
      <c r="A72" s="77">
        <v>70</v>
      </c>
      <c r="B72" s="78" t="str">
        <f>IFERROR(VLOOKUP(A72,'Product Backlog'!$A$2:$K$97,2,FALSE),"")</f>
        <v/>
      </c>
      <c r="C72" s="78" t="str">
        <f>IFERROR(VLOOKUP(A72,'Product Backlog'!$A$2:$K$97,3,FALSE),"")</f>
        <v/>
      </c>
      <c r="D72" s="87"/>
      <c r="E72" s="87"/>
      <c r="F72" s="88"/>
      <c r="G72" s="88"/>
      <c r="H72" s="88"/>
      <c r="I72" s="81"/>
      <c r="J72" s="80"/>
      <c r="K72" s="80"/>
    </row>
    <row r="73" spans="1:11" ht="13.8" x14ac:dyDescent="0.3">
      <c r="A73" s="77">
        <v>71</v>
      </c>
      <c r="B73" s="78" t="str">
        <f>IFERROR(VLOOKUP(A73,'Product Backlog'!$A$2:$K$97,2,FALSE),"")</f>
        <v/>
      </c>
      <c r="C73" s="78" t="str">
        <f>IFERROR(VLOOKUP(A73,'Product Backlog'!$A$2:$K$97,3,FALSE),"")</f>
        <v/>
      </c>
      <c r="D73" s="87"/>
      <c r="E73" s="87"/>
      <c r="F73" s="88"/>
      <c r="G73" s="88"/>
      <c r="H73" s="88"/>
      <c r="I73" s="81"/>
      <c r="J73" s="80"/>
      <c r="K73" s="80"/>
    </row>
    <row r="74" spans="1:11" ht="13.8" x14ac:dyDescent="0.3">
      <c r="A74" s="77">
        <v>72</v>
      </c>
      <c r="B74" s="78" t="str">
        <f>IFERROR(VLOOKUP(A74,'Product Backlog'!$A$2:$K$97,2,FALSE),"")</f>
        <v/>
      </c>
      <c r="C74" s="78" t="str">
        <f>IFERROR(VLOOKUP(A74,'Product Backlog'!$A$2:$K$97,3,FALSE),"")</f>
        <v/>
      </c>
      <c r="D74" s="87"/>
      <c r="E74" s="87"/>
      <c r="F74" s="88"/>
      <c r="G74" s="88"/>
      <c r="H74" s="88"/>
      <c r="I74" s="81"/>
      <c r="J74" s="80"/>
      <c r="K74" s="80"/>
    </row>
    <row r="75" spans="1:11" ht="13.8" x14ac:dyDescent="0.3">
      <c r="A75" s="77">
        <v>73</v>
      </c>
      <c r="B75" s="78" t="str">
        <f>IFERROR(VLOOKUP(A75,'Product Backlog'!$A$2:$K$97,2,FALSE),"")</f>
        <v/>
      </c>
      <c r="C75" s="78" t="str">
        <f>IFERROR(VLOOKUP(A75,'Product Backlog'!$A$2:$K$97,3,FALSE),"")</f>
        <v/>
      </c>
      <c r="D75" s="87"/>
      <c r="E75" s="87"/>
      <c r="F75" s="88"/>
      <c r="G75" s="88"/>
      <c r="H75" s="88"/>
      <c r="I75" s="81"/>
      <c r="J75" s="80"/>
      <c r="K75" s="80"/>
    </row>
    <row r="76" spans="1:11" ht="13.8" x14ac:dyDescent="0.3">
      <c r="A76" s="77">
        <v>74</v>
      </c>
      <c r="B76" s="78" t="str">
        <f>IFERROR(VLOOKUP(A76,'Product Backlog'!$A$2:$K$97,2,FALSE),"")</f>
        <v/>
      </c>
      <c r="C76" s="78" t="str">
        <f>IFERROR(VLOOKUP(A76,'Product Backlog'!$A$2:$K$97,3,FALSE),"")</f>
        <v/>
      </c>
      <c r="D76" s="87"/>
      <c r="E76" s="87"/>
      <c r="F76" s="88"/>
      <c r="G76" s="88"/>
      <c r="H76" s="88"/>
      <c r="I76" s="81"/>
      <c r="J76" s="80"/>
      <c r="K76" s="80"/>
    </row>
    <row r="77" spans="1:11" ht="13.8" x14ac:dyDescent="0.3">
      <c r="A77" s="77">
        <v>75</v>
      </c>
      <c r="B77" s="78" t="str">
        <f>IFERROR(VLOOKUP(A77,'Product Backlog'!$A$2:$K$97,2,FALSE),"")</f>
        <v/>
      </c>
      <c r="C77" s="78" t="str">
        <f>IFERROR(VLOOKUP(A77,'Product Backlog'!$A$2:$K$97,3,FALSE),"")</f>
        <v/>
      </c>
      <c r="D77" s="87"/>
      <c r="E77" s="87"/>
      <c r="F77" s="88"/>
      <c r="G77" s="88"/>
      <c r="H77" s="88"/>
      <c r="I77" s="81"/>
      <c r="J77" s="80"/>
      <c r="K77" s="80"/>
    </row>
    <row r="78" spans="1:11" ht="13.8" x14ac:dyDescent="0.3">
      <c r="A78" s="77">
        <v>76</v>
      </c>
      <c r="B78" s="78" t="str">
        <f>IFERROR(VLOOKUP(A78,'Product Backlog'!$A$2:$K$97,2,FALSE),"")</f>
        <v/>
      </c>
      <c r="C78" s="78" t="str">
        <f>IFERROR(VLOOKUP(A78,'Product Backlog'!$A$2:$K$97,3,FALSE),"")</f>
        <v/>
      </c>
      <c r="D78" s="87"/>
      <c r="E78" s="87"/>
      <c r="F78" s="88"/>
      <c r="G78" s="88"/>
      <c r="H78" s="88"/>
      <c r="I78" s="81"/>
      <c r="J78" s="80"/>
      <c r="K78" s="80"/>
    </row>
    <row r="79" spans="1:11" ht="13.8" x14ac:dyDescent="0.3">
      <c r="A79" s="77">
        <v>77</v>
      </c>
      <c r="B79" s="78" t="str">
        <f>IFERROR(VLOOKUP(A79,'Product Backlog'!$A$2:$K$97,2,FALSE),"")</f>
        <v/>
      </c>
      <c r="C79" s="78" t="str">
        <f>IFERROR(VLOOKUP(A79,'Product Backlog'!$A$2:$K$97,3,FALSE),"")</f>
        <v/>
      </c>
      <c r="D79" s="87"/>
      <c r="E79" s="87"/>
      <c r="F79" s="88"/>
      <c r="G79" s="88"/>
      <c r="H79" s="88"/>
      <c r="I79" s="81"/>
      <c r="J79" s="80"/>
      <c r="K79" s="80"/>
    </row>
    <row r="80" spans="1:11" ht="13.8" x14ac:dyDescent="0.3">
      <c r="A80" s="77">
        <v>78</v>
      </c>
      <c r="B80" s="78" t="str">
        <f>IFERROR(VLOOKUP(A80,'Product Backlog'!$A$2:$K$97,2,FALSE),"")</f>
        <v/>
      </c>
      <c r="C80" s="78" t="str">
        <f>IFERROR(VLOOKUP(A80,'Product Backlog'!$A$2:$K$97,3,FALSE),"")</f>
        <v/>
      </c>
      <c r="D80" s="87"/>
      <c r="E80" s="87"/>
      <c r="F80" s="88"/>
      <c r="G80" s="88"/>
      <c r="H80" s="88"/>
      <c r="I80" s="81"/>
      <c r="J80" s="80"/>
      <c r="K80" s="80"/>
    </row>
    <row r="81" spans="1:11" ht="13.8" x14ac:dyDescent="0.3">
      <c r="A81" s="77">
        <v>79</v>
      </c>
      <c r="B81" s="78" t="str">
        <f>IFERROR(VLOOKUP(A81,'Product Backlog'!$A$2:$K$97,2,FALSE),"")</f>
        <v/>
      </c>
      <c r="C81" s="78" t="str">
        <f>IFERROR(VLOOKUP(A81,'Product Backlog'!$A$2:$K$97,3,FALSE),"")</f>
        <v/>
      </c>
      <c r="D81" s="87"/>
      <c r="E81" s="87"/>
      <c r="F81" s="88"/>
      <c r="G81" s="88"/>
      <c r="H81" s="88"/>
      <c r="I81" s="81"/>
      <c r="J81" s="80"/>
      <c r="K81" s="80"/>
    </row>
    <row r="82" spans="1:11" ht="13.8" x14ac:dyDescent="0.3">
      <c r="A82" s="77">
        <v>80</v>
      </c>
      <c r="B82" s="78" t="str">
        <f>IFERROR(VLOOKUP(A82,'Product Backlog'!$A$2:$K$97,2,FALSE),"")</f>
        <v/>
      </c>
      <c r="C82" s="78" t="str">
        <f>IFERROR(VLOOKUP(A82,'Product Backlog'!$A$2:$K$97,3,FALSE),"")</f>
        <v/>
      </c>
      <c r="D82" s="87"/>
      <c r="E82" s="87"/>
      <c r="F82" s="88"/>
      <c r="G82" s="88"/>
      <c r="H82" s="88"/>
      <c r="I82" s="81"/>
      <c r="J82" s="80"/>
      <c r="K82" s="80"/>
    </row>
    <row r="83" spans="1:11" ht="13.8" x14ac:dyDescent="0.3">
      <c r="A83" s="77">
        <v>81</v>
      </c>
      <c r="B83" s="78" t="str">
        <f>IFERROR(VLOOKUP(A83,'Product Backlog'!$A$2:$K$97,2,FALSE),"")</f>
        <v/>
      </c>
      <c r="C83" s="78" t="str">
        <f>IFERROR(VLOOKUP(A83,'Product Backlog'!$A$2:$K$97,3,FALSE),"")</f>
        <v/>
      </c>
      <c r="D83" s="87"/>
      <c r="E83" s="87"/>
      <c r="F83" s="88"/>
      <c r="G83" s="88"/>
      <c r="H83" s="88"/>
      <c r="I83" s="81"/>
      <c r="J83" s="80"/>
      <c r="K83" s="80"/>
    </row>
    <row r="84" spans="1:11" ht="13.8" x14ac:dyDescent="0.3">
      <c r="A84" s="77">
        <v>82</v>
      </c>
      <c r="B84" s="78" t="str">
        <f>IFERROR(VLOOKUP(A84,'Product Backlog'!$A$2:$K$97,2,FALSE),"")</f>
        <v/>
      </c>
      <c r="C84" s="78" t="str">
        <f>IFERROR(VLOOKUP(A84,'Product Backlog'!$A$2:$K$97,3,FALSE),"")</f>
        <v/>
      </c>
      <c r="D84" s="87"/>
      <c r="E84" s="87"/>
      <c r="F84" s="88"/>
      <c r="G84" s="88"/>
      <c r="H84" s="88"/>
      <c r="I84" s="81"/>
      <c r="J84" s="80"/>
      <c r="K84" s="80"/>
    </row>
    <row r="85" spans="1:11" ht="13.8" x14ac:dyDescent="0.3">
      <c r="A85" s="77">
        <v>83</v>
      </c>
      <c r="B85" s="78" t="str">
        <f>IFERROR(VLOOKUP(A85,'Product Backlog'!$A$2:$K$97,2,FALSE),"")</f>
        <v/>
      </c>
      <c r="C85" s="78" t="str">
        <f>IFERROR(VLOOKUP(A85,'Product Backlog'!$A$2:$K$97,3,FALSE),"")</f>
        <v/>
      </c>
      <c r="D85" s="87"/>
      <c r="E85" s="87"/>
      <c r="F85" s="88"/>
      <c r="G85" s="88"/>
      <c r="H85" s="88"/>
      <c r="I85" s="81"/>
      <c r="J85" s="80"/>
      <c r="K85" s="80"/>
    </row>
    <row r="86" spans="1:11" ht="13.8" x14ac:dyDescent="0.3">
      <c r="A86" s="77">
        <v>84</v>
      </c>
      <c r="B86" s="78" t="str">
        <f>IFERROR(VLOOKUP(A86,'Product Backlog'!$A$2:$K$97,2,FALSE),"")</f>
        <v/>
      </c>
      <c r="C86" s="78" t="str">
        <f>IFERROR(VLOOKUP(A86,'Product Backlog'!$A$2:$K$97,3,FALSE),"")</f>
        <v/>
      </c>
      <c r="D86" s="87"/>
      <c r="E86" s="87"/>
      <c r="F86" s="88"/>
      <c r="G86" s="88"/>
      <c r="H86" s="88"/>
      <c r="I86" s="81"/>
      <c r="J86" s="80"/>
      <c r="K86" s="80"/>
    </row>
    <row r="87" spans="1:11" ht="13.8" x14ac:dyDescent="0.3">
      <c r="A87" s="77">
        <v>85</v>
      </c>
      <c r="B87" s="78" t="str">
        <f>IFERROR(VLOOKUP(A87,'Product Backlog'!$A$2:$K$97,2,FALSE),"")</f>
        <v/>
      </c>
      <c r="C87" s="78" t="str">
        <f>IFERROR(VLOOKUP(A87,'Product Backlog'!$A$2:$K$97,3,FALSE),"")</f>
        <v/>
      </c>
      <c r="D87" s="87"/>
      <c r="E87" s="87"/>
      <c r="F87" s="88"/>
      <c r="G87" s="88"/>
      <c r="H87" s="88"/>
      <c r="I87" s="81"/>
      <c r="J87" s="80"/>
      <c r="K87" s="80"/>
    </row>
    <row r="88" spans="1:11" ht="13.8" x14ac:dyDescent="0.3">
      <c r="A88" s="77">
        <v>86</v>
      </c>
      <c r="B88" s="78" t="str">
        <f>IFERROR(VLOOKUP(A88,'Product Backlog'!$A$2:$K$97,2,FALSE),"")</f>
        <v/>
      </c>
      <c r="C88" s="78" t="str">
        <f>IFERROR(VLOOKUP(A88,'Product Backlog'!$A$2:$K$97,3,FALSE),"")</f>
        <v/>
      </c>
      <c r="D88" s="87"/>
      <c r="E88" s="87"/>
      <c r="F88" s="88"/>
      <c r="G88" s="88"/>
      <c r="H88" s="88"/>
      <c r="I88" s="81"/>
      <c r="J88" s="80"/>
      <c r="K88" s="80"/>
    </row>
    <row r="89" spans="1:11" ht="13.8" x14ac:dyDescent="0.3">
      <c r="A89" s="77">
        <v>87</v>
      </c>
      <c r="B89" s="78" t="str">
        <f>IFERROR(VLOOKUP(A89,'Product Backlog'!$A$2:$K$97,2,FALSE),"")</f>
        <v/>
      </c>
      <c r="C89" s="78" t="str">
        <f>IFERROR(VLOOKUP(A89,'Product Backlog'!$A$2:$K$97,3,FALSE),"")</f>
        <v/>
      </c>
      <c r="D89" s="87"/>
      <c r="E89" s="87"/>
      <c r="F89" s="88"/>
      <c r="G89" s="88"/>
      <c r="H89" s="88"/>
      <c r="I89" s="81"/>
      <c r="J89" s="80"/>
      <c r="K89" s="80"/>
    </row>
    <row r="90" spans="1:11" ht="13.8" x14ac:dyDescent="0.3">
      <c r="A90" s="77">
        <v>88</v>
      </c>
      <c r="B90" s="78" t="str">
        <f>IFERROR(VLOOKUP(A90,'Product Backlog'!$A$2:$K$97,2,FALSE),"")</f>
        <v/>
      </c>
      <c r="C90" s="78" t="str">
        <f>IFERROR(VLOOKUP(A90,'Product Backlog'!$A$2:$K$97,3,FALSE),"")</f>
        <v/>
      </c>
      <c r="D90" s="87"/>
      <c r="E90" s="87"/>
      <c r="F90" s="88"/>
      <c r="G90" s="88"/>
      <c r="H90" s="88"/>
      <c r="I90" s="81"/>
      <c r="J90" s="80"/>
      <c r="K90" s="80"/>
    </row>
    <row r="91" spans="1:11" ht="13.8" x14ac:dyDescent="0.3">
      <c r="A91" s="77">
        <v>89</v>
      </c>
      <c r="B91" s="78" t="str">
        <f>IFERROR(VLOOKUP(A91,'Product Backlog'!$A$2:$K$97,2,FALSE),"")</f>
        <v/>
      </c>
      <c r="C91" s="78" t="str">
        <f>IFERROR(VLOOKUP(A91,'Product Backlog'!$A$2:$K$97,3,FALSE),"")</f>
        <v/>
      </c>
      <c r="D91" s="87"/>
      <c r="E91" s="87"/>
      <c r="F91" s="88"/>
      <c r="G91" s="88"/>
      <c r="H91" s="88"/>
      <c r="I91" s="81"/>
      <c r="J91" s="80"/>
      <c r="K91" s="80"/>
    </row>
    <row r="92" spans="1:11" ht="13.8" x14ac:dyDescent="0.3">
      <c r="A92" s="77">
        <v>90</v>
      </c>
      <c r="B92" s="78" t="str">
        <f>IFERROR(VLOOKUP(A92,'Product Backlog'!$A$2:$K$97,2,FALSE),"")</f>
        <v/>
      </c>
      <c r="C92" s="78" t="str">
        <f>IFERROR(VLOOKUP(A92,'Product Backlog'!$A$2:$K$97,3,FALSE),"")</f>
        <v/>
      </c>
      <c r="D92" s="87"/>
      <c r="E92" s="87"/>
      <c r="F92" s="88"/>
      <c r="G92" s="88"/>
      <c r="H92" s="88"/>
      <c r="I92" s="81"/>
      <c r="J92" s="80"/>
      <c r="K92" s="80"/>
    </row>
    <row r="93" spans="1:11" ht="13.8" x14ac:dyDescent="0.3">
      <c r="A93" s="77">
        <v>91</v>
      </c>
      <c r="B93" s="78" t="str">
        <f>IFERROR(VLOOKUP(A93,'Product Backlog'!$A$2:$K$97,2,FALSE),"")</f>
        <v/>
      </c>
      <c r="C93" s="78" t="str">
        <f>IFERROR(VLOOKUP(A93,'Product Backlog'!$A$2:$K$97,3,FALSE),"")</f>
        <v/>
      </c>
      <c r="D93" s="87"/>
      <c r="E93" s="87"/>
      <c r="F93" s="88"/>
      <c r="G93" s="88"/>
      <c r="H93" s="88"/>
      <c r="I93" s="81"/>
      <c r="J93" s="80"/>
      <c r="K93" s="80"/>
    </row>
    <row r="94" spans="1:11" ht="13.8" x14ac:dyDescent="0.3">
      <c r="A94" s="77">
        <v>92</v>
      </c>
      <c r="B94" s="78" t="str">
        <f>IFERROR(VLOOKUP(A94,'Product Backlog'!$A$2:$K$97,2,FALSE),"")</f>
        <v/>
      </c>
      <c r="C94" s="78" t="str">
        <f>IFERROR(VLOOKUP(A94,'Product Backlog'!$A$2:$K$97,3,FALSE),"")</f>
        <v/>
      </c>
      <c r="D94" s="87"/>
      <c r="E94" s="87"/>
      <c r="F94" s="88"/>
      <c r="G94" s="88"/>
      <c r="H94" s="88"/>
      <c r="I94" s="81"/>
      <c r="J94" s="80"/>
      <c r="K94" s="80"/>
    </row>
    <row r="95" spans="1:11" ht="13.8" x14ac:dyDescent="0.3">
      <c r="A95" s="77">
        <v>93</v>
      </c>
      <c r="B95" s="78" t="str">
        <f>IFERROR(VLOOKUP(A95,'Product Backlog'!$A$2:$K$97,2,FALSE),"")</f>
        <v/>
      </c>
      <c r="C95" s="78" t="str">
        <f>IFERROR(VLOOKUP(A95,'Product Backlog'!$A$2:$K$97,3,FALSE),"")</f>
        <v/>
      </c>
      <c r="D95" s="87"/>
      <c r="E95" s="87"/>
      <c r="F95" s="88"/>
      <c r="G95" s="88"/>
      <c r="H95" s="88"/>
      <c r="I95" s="81"/>
      <c r="J95" s="80"/>
      <c r="K95" s="80"/>
    </row>
    <row r="96" spans="1:11" ht="13.8" x14ac:dyDescent="0.3">
      <c r="A96" s="77">
        <v>94</v>
      </c>
      <c r="B96" s="78" t="str">
        <f>IFERROR(VLOOKUP(A96,'Product Backlog'!$A$2:$K$97,2,FALSE),"")</f>
        <v/>
      </c>
      <c r="C96" s="78" t="str">
        <f>IFERROR(VLOOKUP(A96,'Product Backlog'!$A$2:$K$97,3,FALSE),"")</f>
        <v/>
      </c>
      <c r="D96" s="87"/>
      <c r="E96" s="87"/>
      <c r="F96" s="88"/>
      <c r="G96" s="88"/>
      <c r="H96" s="88"/>
      <c r="I96" s="81"/>
      <c r="J96" s="80"/>
      <c r="K96" s="80"/>
    </row>
    <row r="97" spans="1:11" ht="13.8" x14ac:dyDescent="0.3">
      <c r="A97" s="77">
        <v>95</v>
      </c>
      <c r="B97" s="78" t="str">
        <f>IFERROR(VLOOKUP(A97,'Product Backlog'!$A$2:$K$97,2,FALSE),"")</f>
        <v/>
      </c>
      <c r="C97" s="78" t="str">
        <f>IFERROR(VLOOKUP(A97,'Product Backlog'!$A$2:$K$97,3,FALSE),"")</f>
        <v/>
      </c>
      <c r="D97" s="87"/>
      <c r="E97" s="87"/>
      <c r="F97" s="88"/>
      <c r="G97" s="88"/>
      <c r="H97" s="88"/>
      <c r="I97" s="81"/>
      <c r="J97" s="80"/>
      <c r="K97" s="80"/>
    </row>
    <row r="98" spans="1:11" ht="13.8" x14ac:dyDescent="0.3">
      <c r="A98" s="77">
        <v>96</v>
      </c>
      <c r="B98" s="78" t="str">
        <f>IFERROR(VLOOKUP(A98,'Product Backlog'!$A$2:$K$97,2,FALSE),"")</f>
        <v/>
      </c>
      <c r="C98" s="78" t="str">
        <f>IFERROR(VLOOKUP(A98,'Product Backlog'!$A$2:$K$97,3,FALSE),"")</f>
        <v/>
      </c>
      <c r="D98" s="87"/>
      <c r="E98" s="87"/>
      <c r="F98" s="88"/>
      <c r="G98" s="88"/>
      <c r="H98" s="88"/>
      <c r="I98" s="81"/>
      <c r="J98" s="80"/>
      <c r="K98" s="80"/>
    </row>
    <row r="99" spans="1:11" ht="13.8" x14ac:dyDescent="0.3">
      <c r="A99" s="77">
        <v>97</v>
      </c>
      <c r="B99" s="78" t="str">
        <f>IFERROR(VLOOKUP(A99,'Product Backlog'!$A$2:$K$97,2,FALSE),"")</f>
        <v/>
      </c>
      <c r="C99" s="78" t="str">
        <f>IFERROR(VLOOKUP(A99,'Product Backlog'!$A$2:$K$97,3,FALSE),"")</f>
        <v/>
      </c>
      <c r="D99" s="87"/>
      <c r="E99" s="87"/>
      <c r="F99" s="88"/>
      <c r="G99" s="88"/>
      <c r="H99" s="88"/>
      <c r="I99" s="81"/>
      <c r="J99" s="80"/>
      <c r="K99" s="80"/>
    </row>
    <row r="100" spans="1:11" ht="13.8" x14ac:dyDescent="0.3">
      <c r="A100" s="77">
        <v>98</v>
      </c>
      <c r="B100" s="78" t="str">
        <f>IFERROR(VLOOKUP(A100,'Product Backlog'!$A$2:$K$97,2,FALSE),"")</f>
        <v/>
      </c>
      <c r="C100" s="78" t="str">
        <f>IFERROR(VLOOKUP(A100,'Product Backlog'!$A$2:$K$97,3,FALSE),"")</f>
        <v/>
      </c>
      <c r="D100" s="87"/>
      <c r="E100" s="87"/>
      <c r="F100" s="88"/>
      <c r="G100" s="88"/>
      <c r="H100" s="88"/>
      <c r="I100" s="81"/>
      <c r="J100" s="80"/>
      <c r="K100" s="80"/>
    </row>
    <row r="101" spans="1:11" ht="13.8" x14ac:dyDescent="0.3">
      <c r="A101" s="77">
        <v>99</v>
      </c>
      <c r="B101" s="78" t="str">
        <f>IFERROR(VLOOKUP(A101,'Product Backlog'!$A$2:$K$97,2,FALSE),"")</f>
        <v/>
      </c>
      <c r="C101" s="78" t="str">
        <f>IFERROR(VLOOKUP(A101,'Product Backlog'!$A$2:$K$97,3,FALSE),"")</f>
        <v/>
      </c>
      <c r="D101" s="87"/>
      <c r="E101" s="87"/>
      <c r="F101" s="88"/>
      <c r="G101" s="88"/>
      <c r="H101" s="88"/>
      <c r="I101" s="81"/>
      <c r="J101" s="80"/>
      <c r="K101" s="80"/>
    </row>
    <row r="102" spans="1:11" ht="13.8" x14ac:dyDescent="0.3">
      <c r="A102" s="77">
        <v>100</v>
      </c>
      <c r="B102" s="78" t="str">
        <f>IFERROR(VLOOKUP(A102,'Product Backlog'!$A$2:$K$97,2,FALSE),"")</f>
        <v/>
      </c>
      <c r="C102" s="78" t="str">
        <f>IFERROR(VLOOKUP(A102,'Product Backlog'!$A$2:$K$97,3,FALSE),"")</f>
        <v/>
      </c>
      <c r="D102" s="87"/>
      <c r="E102" s="87"/>
      <c r="F102" s="88"/>
      <c r="G102" s="88"/>
      <c r="H102" s="88"/>
      <c r="I102" s="81"/>
      <c r="J102" s="80"/>
      <c r="K102" s="80"/>
    </row>
    <row r="103" spans="1:11" ht="13.8" x14ac:dyDescent="0.3">
      <c r="A103" s="77">
        <v>101</v>
      </c>
      <c r="B103" s="78" t="str">
        <f>IFERROR(VLOOKUP(A103,'Product Backlog'!$A$2:$K$97,2,FALSE),"")</f>
        <v/>
      </c>
      <c r="C103" s="78" t="str">
        <f>IFERROR(VLOOKUP(A103,'Product Backlog'!$A$2:$K$97,3,FALSE),"")</f>
        <v/>
      </c>
      <c r="D103" s="87"/>
      <c r="E103" s="87"/>
      <c r="F103" s="88"/>
      <c r="G103" s="88"/>
      <c r="H103" s="88"/>
      <c r="I103" s="81"/>
      <c r="J103" s="80"/>
      <c r="K103" s="80"/>
    </row>
    <row r="104" spans="1:11" ht="13.8" x14ac:dyDescent="0.3">
      <c r="A104" s="77">
        <v>102</v>
      </c>
      <c r="B104" s="78" t="str">
        <f>IFERROR(VLOOKUP(A104,'Product Backlog'!$A$2:$K$97,2,FALSE),"")</f>
        <v/>
      </c>
      <c r="C104" s="78" t="str">
        <f>IFERROR(VLOOKUP(A104,'Product Backlog'!$A$2:$K$97,3,FALSE),"")</f>
        <v/>
      </c>
      <c r="D104" s="87"/>
      <c r="E104" s="87"/>
      <c r="F104" s="88"/>
      <c r="G104" s="88"/>
      <c r="H104" s="88"/>
      <c r="I104" s="81"/>
      <c r="J104" s="80"/>
      <c r="K104" s="80"/>
    </row>
    <row r="105" spans="1:11" ht="13.8" x14ac:dyDescent="0.3">
      <c r="A105" s="77">
        <v>103</v>
      </c>
      <c r="B105" s="78" t="str">
        <f>IFERROR(VLOOKUP(A105,'Product Backlog'!$A$2:$K$97,2,FALSE),"")</f>
        <v/>
      </c>
      <c r="C105" s="78" t="str">
        <f>IFERROR(VLOOKUP(A105,'Product Backlog'!$A$2:$K$97,3,FALSE),"")</f>
        <v/>
      </c>
      <c r="D105" s="87"/>
      <c r="E105" s="87"/>
      <c r="F105" s="88"/>
      <c r="G105" s="88"/>
      <c r="H105" s="88"/>
      <c r="I105" s="81"/>
      <c r="J105" s="80"/>
      <c r="K105" s="80"/>
    </row>
    <row r="106" spans="1:11" ht="13.8" x14ac:dyDescent="0.3">
      <c r="A106" s="77">
        <v>104</v>
      </c>
      <c r="B106" s="78" t="str">
        <f>IFERROR(VLOOKUP(A106,'Product Backlog'!$A$2:$K$97,2,FALSE),"")</f>
        <v/>
      </c>
      <c r="C106" s="78" t="str">
        <f>IFERROR(VLOOKUP(A106,'Product Backlog'!$A$2:$K$97,3,FALSE),"")</f>
        <v/>
      </c>
      <c r="D106" s="87"/>
      <c r="E106" s="87"/>
      <c r="F106" s="88"/>
      <c r="G106" s="88"/>
      <c r="H106" s="88"/>
      <c r="I106" s="81"/>
      <c r="J106" s="80"/>
      <c r="K106" s="80"/>
    </row>
    <row r="107" spans="1:11" ht="13.8" x14ac:dyDescent="0.3">
      <c r="A107" s="77">
        <v>105</v>
      </c>
      <c r="B107" s="78" t="str">
        <f>IFERROR(VLOOKUP(A107,'Product Backlog'!$A$2:$K$97,2,FALSE),"")</f>
        <v/>
      </c>
      <c r="C107" s="78" t="str">
        <f>IFERROR(VLOOKUP(A107,'Product Backlog'!$A$2:$K$97,3,FALSE),"")</f>
        <v/>
      </c>
      <c r="D107" s="87"/>
      <c r="E107" s="87"/>
      <c r="F107" s="88"/>
      <c r="G107" s="88"/>
      <c r="H107" s="88"/>
      <c r="I107" s="81"/>
      <c r="J107" s="80"/>
      <c r="K107" s="80"/>
    </row>
    <row r="108" spans="1:11" ht="13.8" x14ac:dyDescent="0.3">
      <c r="A108" s="77">
        <v>106</v>
      </c>
      <c r="B108" s="78" t="str">
        <f>IFERROR(VLOOKUP(A108,'Product Backlog'!$A$2:$K$97,2,FALSE),"")</f>
        <v/>
      </c>
      <c r="C108" s="78" t="str">
        <f>IFERROR(VLOOKUP(A108,'Product Backlog'!$A$2:$K$97,3,FALSE),"")</f>
        <v/>
      </c>
      <c r="D108" s="87"/>
      <c r="E108" s="87"/>
      <c r="F108" s="88"/>
      <c r="G108" s="88"/>
      <c r="H108" s="88"/>
      <c r="I108" s="81"/>
      <c r="J108" s="80"/>
      <c r="K108" s="80"/>
    </row>
    <row r="109" spans="1:11" ht="13.8" x14ac:dyDescent="0.3">
      <c r="A109" s="77">
        <v>107</v>
      </c>
      <c r="B109" s="78" t="str">
        <f>IFERROR(VLOOKUP(A109,'Product Backlog'!$A$2:$K$97,2,FALSE),"")</f>
        <v/>
      </c>
      <c r="C109" s="78" t="str">
        <f>IFERROR(VLOOKUP(A109,'Product Backlog'!$A$2:$K$97,3,FALSE),"")</f>
        <v/>
      </c>
      <c r="D109" s="87"/>
      <c r="E109" s="87"/>
      <c r="F109" s="88"/>
      <c r="G109" s="88"/>
      <c r="H109" s="88"/>
      <c r="I109" s="81"/>
      <c r="J109" s="80"/>
      <c r="K109" s="80"/>
    </row>
    <row r="110" spans="1:11" ht="13.8" x14ac:dyDescent="0.3">
      <c r="A110" s="77">
        <v>108</v>
      </c>
      <c r="B110" s="78" t="str">
        <f>IFERROR(VLOOKUP(A110,'Product Backlog'!$A$2:$K$97,2,FALSE),"")</f>
        <v/>
      </c>
      <c r="C110" s="78" t="str">
        <f>IFERROR(VLOOKUP(A110,'Product Backlog'!$A$2:$K$97,3,FALSE),"")</f>
        <v/>
      </c>
      <c r="D110" s="87"/>
      <c r="E110" s="87"/>
      <c r="F110" s="88"/>
      <c r="G110" s="88"/>
      <c r="H110" s="88"/>
      <c r="I110" s="81"/>
      <c r="J110" s="80"/>
      <c r="K110" s="80"/>
    </row>
    <row r="111" spans="1:11" ht="13.8" x14ac:dyDescent="0.3">
      <c r="A111" s="77">
        <v>109</v>
      </c>
      <c r="B111" s="78" t="str">
        <f>IFERROR(VLOOKUP(A111,'Product Backlog'!$A$2:$K$97,2,FALSE),"")</f>
        <v/>
      </c>
      <c r="C111" s="78" t="str">
        <f>IFERROR(VLOOKUP(A111,'Product Backlog'!$A$2:$K$97,3,FALSE),"")</f>
        <v/>
      </c>
      <c r="D111" s="87"/>
      <c r="E111" s="87"/>
      <c r="F111" s="88"/>
      <c r="G111" s="88"/>
      <c r="H111" s="88"/>
      <c r="I111" s="81"/>
      <c r="J111" s="80"/>
      <c r="K111" s="80"/>
    </row>
    <row r="112" spans="1:11" ht="13.8" x14ac:dyDescent="0.3">
      <c r="A112" s="77">
        <v>110</v>
      </c>
      <c r="B112" s="78" t="str">
        <f>IFERROR(VLOOKUP(A112,'Product Backlog'!$A$2:$K$97,2,FALSE),"")</f>
        <v/>
      </c>
      <c r="C112" s="78" t="str">
        <f>IFERROR(VLOOKUP(A112,'Product Backlog'!$A$2:$K$97,3,FALSE),"")</f>
        <v/>
      </c>
      <c r="D112" s="87"/>
      <c r="E112" s="87"/>
      <c r="F112" s="88"/>
      <c r="G112" s="88"/>
      <c r="H112" s="88"/>
      <c r="I112" s="81"/>
      <c r="J112" s="80"/>
      <c r="K112" s="80"/>
    </row>
    <row r="113" spans="1:11" ht="13.8" x14ac:dyDescent="0.3">
      <c r="A113" s="77">
        <v>111</v>
      </c>
      <c r="B113" s="78" t="str">
        <f>IFERROR(VLOOKUP(A113,'Product Backlog'!$A$2:$K$97,2,FALSE),"")</f>
        <v/>
      </c>
      <c r="C113" s="78" t="str">
        <f>IFERROR(VLOOKUP(A113,'Product Backlog'!$A$2:$K$97,3,FALSE),"")</f>
        <v/>
      </c>
      <c r="D113" s="87"/>
      <c r="E113" s="87"/>
      <c r="F113" s="88"/>
      <c r="G113" s="88"/>
      <c r="H113" s="88"/>
      <c r="I113" s="81"/>
      <c r="J113" s="80"/>
      <c r="K113" s="80"/>
    </row>
    <row r="114" spans="1:11" ht="13.8" x14ac:dyDescent="0.3">
      <c r="A114" s="77">
        <v>112</v>
      </c>
      <c r="B114" s="78" t="str">
        <f>IFERROR(VLOOKUP(A114,'Product Backlog'!$A$2:$K$97,2,FALSE),"")</f>
        <v/>
      </c>
      <c r="C114" s="78" t="str">
        <f>IFERROR(VLOOKUP(A114,'Product Backlog'!$A$2:$K$97,3,FALSE),"")</f>
        <v/>
      </c>
      <c r="D114" s="87"/>
      <c r="E114" s="87"/>
      <c r="F114" s="88"/>
      <c r="G114" s="88"/>
      <c r="H114" s="88"/>
      <c r="I114" s="81"/>
      <c r="J114" s="80"/>
      <c r="K114" s="80"/>
    </row>
    <row r="115" spans="1:11" ht="13.8" x14ac:dyDescent="0.3">
      <c r="A115" s="77">
        <v>113</v>
      </c>
      <c r="B115" s="78" t="str">
        <f>IFERROR(VLOOKUP(A115,'Product Backlog'!$A$2:$K$97,2,FALSE),"")</f>
        <v/>
      </c>
      <c r="C115" s="78" t="str">
        <f>IFERROR(VLOOKUP(A115,'Product Backlog'!$A$2:$K$97,3,FALSE),"")</f>
        <v/>
      </c>
      <c r="D115" s="87"/>
      <c r="E115" s="87"/>
      <c r="F115" s="88"/>
      <c r="G115" s="88"/>
      <c r="H115" s="88"/>
      <c r="I115" s="81"/>
      <c r="J115" s="80"/>
      <c r="K115" s="80"/>
    </row>
    <row r="116" spans="1:11" ht="13.8" x14ac:dyDescent="0.3">
      <c r="A116" s="77">
        <v>114</v>
      </c>
      <c r="B116" s="78" t="str">
        <f>IFERROR(VLOOKUP(A116,'Product Backlog'!$A$2:$K$97,2,FALSE),"")</f>
        <v/>
      </c>
      <c r="C116" s="78" t="str">
        <f>IFERROR(VLOOKUP(A116,'Product Backlog'!$A$2:$K$97,3,FALSE),"")</f>
        <v/>
      </c>
      <c r="D116" s="87"/>
      <c r="E116" s="87"/>
      <c r="F116" s="88"/>
      <c r="G116" s="88"/>
      <c r="H116" s="88"/>
      <c r="I116" s="81"/>
      <c r="J116" s="80"/>
      <c r="K116" s="80"/>
    </row>
    <row r="117" spans="1:11" ht="13.8" x14ac:dyDescent="0.3">
      <c r="A117" s="77">
        <v>115</v>
      </c>
      <c r="B117" s="78" t="str">
        <f>IFERROR(VLOOKUP(A117,'Product Backlog'!$A$2:$K$97,2,FALSE),"")</f>
        <v/>
      </c>
      <c r="C117" s="78" t="str">
        <f>IFERROR(VLOOKUP(A117,'Product Backlog'!$A$2:$K$97,3,FALSE),"")</f>
        <v/>
      </c>
      <c r="D117" s="87"/>
      <c r="E117" s="87"/>
      <c r="F117" s="88"/>
      <c r="G117" s="88"/>
      <c r="H117" s="88"/>
      <c r="I117" s="81"/>
      <c r="J117" s="80"/>
      <c r="K117" s="80"/>
    </row>
    <row r="118" spans="1:11" ht="13.8" x14ac:dyDescent="0.3">
      <c r="A118" s="77">
        <v>116</v>
      </c>
      <c r="B118" s="78" t="str">
        <f>IFERROR(VLOOKUP(A118,'Product Backlog'!$A$2:$K$97,2,FALSE),"")</f>
        <v/>
      </c>
      <c r="C118" s="78" t="str">
        <f>IFERROR(VLOOKUP(A118,'Product Backlog'!$A$2:$K$97,3,FALSE),"")</f>
        <v/>
      </c>
      <c r="D118" s="87"/>
      <c r="E118" s="87"/>
      <c r="F118" s="88"/>
      <c r="G118" s="88"/>
      <c r="H118" s="88"/>
      <c r="I118" s="81"/>
      <c r="J118" s="80"/>
      <c r="K118" s="80"/>
    </row>
    <row r="119" spans="1:11" ht="13.8" x14ac:dyDescent="0.3">
      <c r="A119" s="77">
        <v>117</v>
      </c>
      <c r="B119" s="78" t="str">
        <f>IFERROR(VLOOKUP(A119,'Product Backlog'!$A$2:$K$97,2,FALSE),"")</f>
        <v/>
      </c>
      <c r="C119" s="78" t="str">
        <f>IFERROR(VLOOKUP(A119,'Product Backlog'!$A$2:$K$97,3,FALSE),"")</f>
        <v/>
      </c>
      <c r="D119" s="87"/>
      <c r="E119" s="87"/>
      <c r="F119" s="88"/>
      <c r="G119" s="88"/>
      <c r="H119" s="88"/>
      <c r="I119" s="81"/>
      <c r="J119" s="80"/>
      <c r="K119" s="80"/>
    </row>
    <row r="120" spans="1:11" ht="13.8" x14ac:dyDescent="0.3">
      <c r="A120" s="77">
        <v>118</v>
      </c>
      <c r="B120" s="78" t="str">
        <f>IFERROR(VLOOKUP(A120,'Product Backlog'!$A$2:$K$97,2,FALSE),"")</f>
        <v/>
      </c>
      <c r="C120" s="78" t="str">
        <f>IFERROR(VLOOKUP(A120,'Product Backlog'!$A$2:$K$97,3,FALSE),"")</f>
        <v/>
      </c>
      <c r="D120" s="87"/>
      <c r="E120" s="87"/>
      <c r="F120" s="88"/>
      <c r="G120" s="88"/>
      <c r="H120" s="88"/>
      <c r="I120" s="81"/>
      <c r="J120" s="80"/>
      <c r="K120" s="80"/>
    </row>
    <row r="121" spans="1:11" ht="13.8" x14ac:dyDescent="0.3">
      <c r="A121" s="77">
        <v>119</v>
      </c>
      <c r="B121" s="78" t="str">
        <f>IFERROR(VLOOKUP(A121,'Product Backlog'!$A$2:$K$97,2,FALSE),"")</f>
        <v/>
      </c>
      <c r="C121" s="78" t="str">
        <f>IFERROR(VLOOKUP(A121,'Product Backlog'!$A$2:$K$97,3,FALSE),"")</f>
        <v/>
      </c>
      <c r="D121" s="87"/>
      <c r="E121" s="87"/>
      <c r="F121" s="88"/>
      <c r="G121" s="88"/>
      <c r="H121" s="88"/>
      <c r="I121" s="81"/>
      <c r="J121" s="80"/>
      <c r="K121" s="80"/>
    </row>
    <row r="122" spans="1:11" ht="13.8" x14ac:dyDescent="0.3">
      <c r="A122" s="77">
        <v>120</v>
      </c>
      <c r="B122" s="78" t="str">
        <f>IFERROR(VLOOKUP(A122,'Product Backlog'!$A$2:$K$97,2,FALSE),"")</f>
        <v/>
      </c>
      <c r="C122" s="78" t="str">
        <f>IFERROR(VLOOKUP(A122,'Product Backlog'!$A$2:$K$97,3,FALSE),"")</f>
        <v/>
      </c>
      <c r="D122" s="87"/>
      <c r="E122" s="87"/>
      <c r="F122" s="88"/>
      <c r="G122" s="88"/>
      <c r="H122" s="88"/>
      <c r="I122" s="81"/>
      <c r="J122" s="80"/>
      <c r="K122" s="80"/>
    </row>
    <row r="123" spans="1:11" ht="13.8" x14ac:dyDescent="0.3">
      <c r="A123" s="77">
        <v>121</v>
      </c>
      <c r="B123" s="78" t="str">
        <f>IFERROR(VLOOKUP(A123,'Product Backlog'!$A$2:$K$97,2,FALSE),"")</f>
        <v/>
      </c>
      <c r="C123" s="78" t="str">
        <f>IFERROR(VLOOKUP(A123,'Product Backlog'!$A$2:$K$97,3,FALSE),"")</f>
        <v/>
      </c>
      <c r="D123" s="87"/>
      <c r="E123" s="87"/>
      <c r="F123" s="88"/>
      <c r="G123" s="88"/>
      <c r="H123" s="88"/>
      <c r="I123" s="81"/>
      <c r="J123" s="80"/>
      <c r="K123" s="80"/>
    </row>
    <row r="124" spans="1:11" ht="13.8" x14ac:dyDescent="0.3">
      <c r="A124" s="77">
        <v>122</v>
      </c>
      <c r="B124" s="78" t="str">
        <f>IFERROR(VLOOKUP(A124,'Product Backlog'!$A$2:$K$97,2,FALSE),"")</f>
        <v/>
      </c>
      <c r="C124" s="78" t="str">
        <f>IFERROR(VLOOKUP(A124,'Product Backlog'!$A$2:$K$97,3,FALSE),"")</f>
        <v/>
      </c>
      <c r="D124" s="87"/>
      <c r="E124" s="87"/>
      <c r="F124" s="88"/>
      <c r="G124" s="88"/>
      <c r="H124" s="88"/>
      <c r="I124" s="81"/>
      <c r="J124" s="80"/>
      <c r="K124" s="80"/>
    </row>
    <row r="125" spans="1:11" ht="13.8" x14ac:dyDescent="0.3">
      <c r="A125" s="77">
        <v>123</v>
      </c>
      <c r="B125" s="78" t="str">
        <f>IFERROR(VLOOKUP(A125,'Product Backlog'!$A$2:$K$97,2,FALSE),"")</f>
        <v/>
      </c>
      <c r="C125" s="78" t="str">
        <f>IFERROR(VLOOKUP(A125,'Product Backlog'!$A$2:$K$97,3,FALSE),"")</f>
        <v/>
      </c>
      <c r="D125" s="87"/>
      <c r="E125" s="87"/>
      <c r="F125" s="88"/>
      <c r="G125" s="88"/>
      <c r="H125" s="88"/>
      <c r="I125" s="81"/>
      <c r="J125" s="80"/>
      <c r="K125" s="80"/>
    </row>
    <row r="126" spans="1:11" ht="13.8" x14ac:dyDescent="0.3">
      <c r="A126" s="77">
        <v>124</v>
      </c>
      <c r="B126" s="78" t="str">
        <f>IFERROR(VLOOKUP(A126,'Product Backlog'!$A$2:$K$97,2,FALSE),"")</f>
        <v/>
      </c>
      <c r="C126" s="78" t="str">
        <f>IFERROR(VLOOKUP(A126,'Product Backlog'!$A$2:$K$97,3,FALSE),"")</f>
        <v/>
      </c>
      <c r="D126" s="87"/>
      <c r="E126" s="87"/>
      <c r="F126" s="88"/>
      <c r="G126" s="88"/>
      <c r="H126" s="88"/>
      <c r="I126" s="81"/>
      <c r="J126" s="80"/>
      <c r="K126" s="80"/>
    </row>
    <row r="127" spans="1:11" ht="13.8" x14ac:dyDescent="0.3">
      <c r="A127" s="77">
        <v>125</v>
      </c>
      <c r="B127" s="78" t="str">
        <f>IFERROR(VLOOKUP(A127,'Product Backlog'!$A$2:$K$97,2,FALSE),"")</f>
        <v/>
      </c>
      <c r="C127" s="78" t="str">
        <f>IFERROR(VLOOKUP(A127,'Product Backlog'!$A$2:$K$97,3,FALSE),"")</f>
        <v/>
      </c>
      <c r="D127" s="87"/>
      <c r="E127" s="87"/>
      <c r="F127" s="88"/>
      <c r="G127" s="88"/>
      <c r="H127" s="88"/>
      <c r="I127" s="81"/>
      <c r="J127" s="80"/>
      <c r="K127" s="80"/>
    </row>
    <row r="128" spans="1:11" ht="13.8" x14ac:dyDescent="0.3">
      <c r="A128" s="77">
        <v>126</v>
      </c>
      <c r="B128" s="78" t="str">
        <f>IFERROR(VLOOKUP(A128,'Product Backlog'!$A$2:$K$97,2,FALSE),"")</f>
        <v/>
      </c>
      <c r="C128" s="78" t="str">
        <f>IFERROR(VLOOKUP(A128,'Product Backlog'!$A$2:$K$97,3,FALSE),"")</f>
        <v/>
      </c>
      <c r="D128" s="87"/>
      <c r="E128" s="87"/>
      <c r="F128" s="88"/>
      <c r="G128" s="88"/>
      <c r="H128" s="88"/>
      <c r="I128" s="81"/>
      <c r="J128" s="80"/>
      <c r="K128" s="80"/>
    </row>
    <row r="129" spans="1:11" ht="13.8" x14ac:dyDescent="0.3">
      <c r="A129" s="77">
        <v>127</v>
      </c>
      <c r="B129" s="78" t="str">
        <f>IFERROR(VLOOKUP(A129,'Product Backlog'!$A$2:$K$97,2,FALSE),"")</f>
        <v/>
      </c>
      <c r="C129" s="78" t="str">
        <f>IFERROR(VLOOKUP(A129,'Product Backlog'!$A$2:$K$97,3,FALSE),"")</f>
        <v/>
      </c>
      <c r="D129" s="87"/>
      <c r="E129" s="87"/>
      <c r="F129" s="88"/>
      <c r="G129" s="88"/>
      <c r="H129" s="88"/>
      <c r="I129" s="81"/>
      <c r="J129" s="80"/>
      <c r="K129" s="80"/>
    </row>
    <row r="130" spans="1:11" ht="13.8" x14ac:dyDescent="0.3">
      <c r="A130" s="77">
        <v>128</v>
      </c>
      <c r="B130" s="78" t="str">
        <f>IFERROR(VLOOKUP(A130,'Product Backlog'!$A$2:$K$97,2,FALSE),"")</f>
        <v/>
      </c>
      <c r="C130" s="78" t="str">
        <f>IFERROR(VLOOKUP(A130,'Product Backlog'!$A$2:$K$97,3,FALSE),"")</f>
        <v/>
      </c>
      <c r="D130" s="87"/>
      <c r="E130" s="87"/>
      <c r="F130" s="88"/>
      <c r="G130" s="88"/>
      <c r="H130" s="88"/>
      <c r="I130" s="81"/>
      <c r="J130" s="80"/>
      <c r="K130" s="80"/>
    </row>
    <row r="131" spans="1:11" ht="13.8" x14ac:dyDescent="0.3">
      <c r="A131" s="77">
        <v>129</v>
      </c>
      <c r="B131" s="78" t="str">
        <f>IFERROR(VLOOKUP(A131,'Product Backlog'!$A$2:$K$97,2,FALSE),"")</f>
        <v/>
      </c>
      <c r="C131" s="78" t="str">
        <f>IFERROR(VLOOKUP(A131,'Product Backlog'!$A$2:$K$97,3,FALSE),"")</f>
        <v/>
      </c>
      <c r="D131" s="87"/>
      <c r="E131" s="87"/>
      <c r="F131" s="88"/>
      <c r="G131" s="88"/>
      <c r="H131" s="88"/>
      <c r="I131" s="81"/>
      <c r="J131" s="80"/>
      <c r="K131" s="80"/>
    </row>
    <row r="132" spans="1:11" ht="13.8" x14ac:dyDescent="0.3">
      <c r="A132" s="77">
        <v>130</v>
      </c>
      <c r="B132" s="78" t="str">
        <f>IFERROR(VLOOKUP(A132,'Product Backlog'!$A$2:$K$97,2,FALSE),"")</f>
        <v/>
      </c>
      <c r="C132" s="78" t="str">
        <f>IFERROR(VLOOKUP(A132,'Product Backlog'!$A$2:$K$97,3,FALSE),"")</f>
        <v/>
      </c>
      <c r="D132" s="87"/>
      <c r="E132" s="87"/>
      <c r="F132" s="88"/>
      <c r="G132" s="88"/>
      <c r="H132" s="88"/>
      <c r="I132" s="81"/>
      <c r="J132" s="80"/>
      <c r="K132" s="80"/>
    </row>
    <row r="133" spans="1:11" ht="13.8" x14ac:dyDescent="0.3">
      <c r="A133" s="77">
        <v>131</v>
      </c>
      <c r="B133" s="78" t="str">
        <f>IFERROR(VLOOKUP(A133,'Product Backlog'!$A$2:$K$97,2,FALSE),"")</f>
        <v/>
      </c>
      <c r="C133" s="78" t="str">
        <f>IFERROR(VLOOKUP(A133,'Product Backlog'!$A$2:$K$97,3,FALSE),"")</f>
        <v/>
      </c>
      <c r="D133" s="87"/>
      <c r="E133" s="87"/>
      <c r="F133" s="88"/>
      <c r="G133" s="88"/>
      <c r="H133" s="88"/>
      <c r="I133" s="81"/>
      <c r="J133" s="80"/>
      <c r="K133" s="80"/>
    </row>
    <row r="134" spans="1:11" ht="13.8" x14ac:dyDescent="0.3">
      <c r="A134" s="77">
        <v>132</v>
      </c>
      <c r="B134" s="78" t="str">
        <f>IFERROR(VLOOKUP(A134,'Product Backlog'!$A$2:$K$97,2,FALSE),"")</f>
        <v/>
      </c>
      <c r="C134" s="78" t="str">
        <f>IFERROR(VLOOKUP(A134,'Product Backlog'!$A$2:$K$97,3,FALSE),"")</f>
        <v/>
      </c>
      <c r="D134" s="87"/>
      <c r="E134" s="87"/>
      <c r="F134" s="88"/>
      <c r="G134" s="88"/>
      <c r="H134" s="88"/>
      <c r="I134" s="81"/>
      <c r="J134" s="80"/>
      <c r="K134" s="80"/>
    </row>
    <row r="135" spans="1:11" ht="13.8" x14ac:dyDescent="0.3">
      <c r="A135" s="77">
        <v>133</v>
      </c>
      <c r="B135" s="78" t="str">
        <f>IFERROR(VLOOKUP(A135,'Product Backlog'!$A$2:$K$97,2,FALSE),"")</f>
        <v/>
      </c>
      <c r="C135" s="78" t="str">
        <f>IFERROR(VLOOKUP(A135,'Product Backlog'!$A$2:$K$97,3,FALSE),"")</f>
        <v/>
      </c>
      <c r="D135" s="87"/>
      <c r="E135" s="87"/>
      <c r="F135" s="88"/>
      <c r="G135" s="88"/>
      <c r="H135" s="88"/>
      <c r="I135" s="81"/>
      <c r="J135" s="80"/>
      <c r="K135" s="80"/>
    </row>
    <row r="136" spans="1:11" ht="13.8" x14ac:dyDescent="0.3">
      <c r="A136" s="77">
        <v>134</v>
      </c>
      <c r="B136" s="78" t="str">
        <f>IFERROR(VLOOKUP(A136,'Product Backlog'!$A$2:$K$97,2,FALSE),"")</f>
        <v/>
      </c>
      <c r="C136" s="78" t="str">
        <f>IFERROR(VLOOKUP(A136,'Product Backlog'!$A$2:$K$97,3,FALSE),"")</f>
        <v/>
      </c>
      <c r="D136" s="87"/>
      <c r="E136" s="87"/>
      <c r="F136" s="88"/>
      <c r="G136" s="88"/>
      <c r="H136" s="88"/>
      <c r="I136" s="81"/>
      <c r="J136" s="80"/>
      <c r="K136" s="80"/>
    </row>
    <row r="137" spans="1:11" ht="13.8" x14ac:dyDescent="0.3">
      <c r="A137" s="77">
        <v>135</v>
      </c>
      <c r="B137" s="78" t="str">
        <f>IFERROR(VLOOKUP(A137,'Product Backlog'!$A$2:$K$97,2,FALSE),"")</f>
        <v/>
      </c>
      <c r="C137" s="78" t="str">
        <f>IFERROR(VLOOKUP(A137,'Product Backlog'!$A$2:$K$97,3,FALSE),"")</f>
        <v/>
      </c>
      <c r="D137" s="87"/>
      <c r="E137" s="87"/>
      <c r="F137" s="88"/>
      <c r="G137" s="88"/>
      <c r="H137" s="88"/>
      <c r="I137" s="81"/>
      <c r="J137" s="80"/>
      <c r="K137" s="80"/>
    </row>
    <row r="138" spans="1:11" ht="13.8" x14ac:dyDescent="0.3">
      <c r="A138" s="77">
        <v>136</v>
      </c>
      <c r="B138" s="78" t="str">
        <f>IFERROR(VLOOKUP(A138,'Product Backlog'!$A$2:$K$97,2,FALSE),"")</f>
        <v/>
      </c>
      <c r="C138" s="78" t="str">
        <f>IFERROR(VLOOKUP(A138,'Product Backlog'!$A$2:$K$97,3,FALSE),"")</f>
        <v/>
      </c>
      <c r="D138" s="87"/>
      <c r="E138" s="87"/>
      <c r="F138" s="88"/>
      <c r="G138" s="88"/>
      <c r="H138" s="88"/>
      <c r="I138" s="81"/>
      <c r="J138" s="80"/>
      <c r="K138" s="80"/>
    </row>
    <row r="139" spans="1:11" ht="13.8" x14ac:dyDescent="0.3">
      <c r="A139" s="77">
        <v>137</v>
      </c>
      <c r="B139" s="78"/>
      <c r="C139" s="80"/>
      <c r="D139" s="87"/>
      <c r="E139" s="87"/>
      <c r="F139" s="88"/>
      <c r="G139" s="88"/>
      <c r="H139" s="88"/>
      <c r="I139" s="81"/>
      <c r="J139" s="80"/>
      <c r="K139" s="80"/>
    </row>
    <row r="140" spans="1:11" ht="13.8" x14ac:dyDescent="0.3">
      <c r="A140" s="77">
        <v>138</v>
      </c>
      <c r="B140" s="78"/>
      <c r="C140" s="80"/>
      <c r="D140" s="87"/>
      <c r="E140" s="87"/>
      <c r="F140" s="88"/>
      <c r="G140" s="88"/>
      <c r="H140" s="88"/>
      <c r="I140" s="81"/>
      <c r="J140" s="80"/>
      <c r="K140" s="80"/>
    </row>
    <row r="141" spans="1:11" ht="13.8" x14ac:dyDescent="0.3">
      <c r="A141" s="77">
        <v>139</v>
      </c>
      <c r="B141" s="78"/>
      <c r="C141" s="80"/>
      <c r="D141" s="87"/>
      <c r="E141" s="87"/>
      <c r="F141" s="88"/>
      <c r="G141" s="88"/>
      <c r="H141" s="88"/>
      <c r="I141" s="81"/>
      <c r="J141" s="80"/>
      <c r="K141" s="80"/>
    </row>
    <row r="142" spans="1:11" ht="13.8" x14ac:dyDescent="0.3">
      <c r="A142" s="77">
        <v>140</v>
      </c>
      <c r="B142" s="78"/>
      <c r="C142" s="80"/>
      <c r="D142" s="87"/>
      <c r="E142" s="87"/>
      <c r="F142" s="88"/>
      <c r="G142" s="88"/>
      <c r="H142" s="88"/>
      <c r="I142" s="81"/>
      <c r="J142" s="80"/>
      <c r="K142" s="80"/>
    </row>
    <row r="143" spans="1:11" ht="13.8" x14ac:dyDescent="0.3">
      <c r="A143" s="77">
        <v>141</v>
      </c>
      <c r="B143" s="78"/>
      <c r="C143" s="80"/>
      <c r="D143" s="87"/>
      <c r="E143" s="87"/>
      <c r="F143" s="88"/>
      <c r="G143" s="88"/>
      <c r="H143" s="88"/>
      <c r="I143" s="81"/>
      <c r="J143" s="80"/>
      <c r="K143" s="80"/>
    </row>
    <row r="144" spans="1:11" ht="13.8" x14ac:dyDescent="0.3">
      <c r="A144" s="77">
        <v>142</v>
      </c>
      <c r="B144" s="78"/>
      <c r="C144" s="80"/>
      <c r="D144" s="87"/>
      <c r="E144" s="87"/>
      <c r="F144" s="88"/>
      <c r="G144" s="88"/>
      <c r="H144" s="88"/>
      <c r="I144" s="81"/>
      <c r="J144" s="80"/>
      <c r="K144" s="80"/>
    </row>
    <row r="145" spans="1:11" ht="13.8" x14ac:dyDescent="0.3">
      <c r="A145" s="77">
        <v>143</v>
      </c>
      <c r="B145" s="78"/>
      <c r="C145" s="80"/>
      <c r="D145" s="87"/>
      <c r="E145" s="87"/>
      <c r="F145" s="88"/>
      <c r="G145" s="88"/>
      <c r="H145" s="88"/>
      <c r="I145" s="81"/>
      <c r="J145" s="80"/>
      <c r="K145" s="80"/>
    </row>
    <row r="146" spans="1:11" ht="13.8" x14ac:dyDescent="0.3">
      <c r="A146" s="77">
        <v>144</v>
      </c>
      <c r="B146" s="78"/>
      <c r="C146" s="80"/>
      <c r="D146" s="87"/>
      <c r="E146" s="87"/>
      <c r="F146" s="88"/>
      <c r="G146" s="88"/>
      <c r="H146" s="88"/>
      <c r="I146" s="81"/>
      <c r="J146" s="80"/>
      <c r="K146" s="80"/>
    </row>
    <row r="147" spans="1:11" ht="13.8" x14ac:dyDescent="0.3">
      <c r="A147" s="77">
        <v>145</v>
      </c>
      <c r="B147" s="78"/>
      <c r="C147" s="80"/>
      <c r="D147" s="87"/>
      <c r="E147" s="87"/>
      <c r="F147" s="88"/>
      <c r="G147" s="88"/>
      <c r="H147" s="88"/>
      <c r="I147" s="81"/>
      <c r="J147" s="80"/>
      <c r="K147" s="80"/>
    </row>
    <row r="148" spans="1:11" ht="13.8" x14ac:dyDescent="0.3">
      <c r="A148" s="77">
        <v>146</v>
      </c>
      <c r="B148" s="78"/>
      <c r="C148" s="80"/>
      <c r="D148" s="87"/>
      <c r="E148" s="87"/>
      <c r="F148" s="88"/>
      <c r="G148" s="88"/>
      <c r="H148" s="88"/>
      <c r="I148" s="81"/>
      <c r="J148" s="80"/>
      <c r="K148" s="80"/>
    </row>
    <row r="149" spans="1:11" ht="13.8" x14ac:dyDescent="0.3">
      <c r="A149" s="77">
        <v>147</v>
      </c>
      <c r="B149" s="78"/>
      <c r="C149" s="80"/>
      <c r="D149" s="87"/>
      <c r="E149" s="87"/>
      <c r="F149" s="88"/>
      <c r="G149" s="88"/>
      <c r="H149" s="88"/>
      <c r="I149" s="81"/>
      <c r="J149" s="80"/>
      <c r="K149" s="80"/>
    </row>
    <row r="150" spans="1:11" ht="13.8" x14ac:dyDescent="0.3">
      <c r="A150" s="77">
        <v>148</v>
      </c>
      <c r="B150" s="78"/>
      <c r="C150" s="80"/>
      <c r="D150" s="87"/>
      <c r="E150" s="87"/>
      <c r="F150" s="88"/>
      <c r="G150" s="88"/>
      <c r="H150" s="88"/>
      <c r="I150" s="81"/>
      <c r="J150" s="80"/>
      <c r="K150" s="80"/>
    </row>
    <row r="151" spans="1:11" ht="13.8" x14ac:dyDescent="0.3">
      <c r="A151" s="77">
        <v>149</v>
      </c>
      <c r="B151" s="78"/>
      <c r="C151" s="80"/>
      <c r="D151" s="87"/>
      <c r="E151" s="87"/>
      <c r="F151" s="88"/>
      <c r="G151" s="88"/>
      <c r="H151" s="88"/>
      <c r="I151" s="81"/>
      <c r="J151" s="80"/>
      <c r="K151" s="80"/>
    </row>
    <row r="152" spans="1:11" ht="13.8" x14ac:dyDescent="0.3">
      <c r="A152" s="77">
        <v>150</v>
      </c>
      <c r="B152" s="78"/>
      <c r="C152" s="80"/>
      <c r="D152" s="87"/>
      <c r="E152" s="87"/>
      <c r="F152" s="88"/>
      <c r="G152" s="88"/>
      <c r="H152" s="88"/>
      <c r="I152" s="81"/>
      <c r="J152" s="80"/>
      <c r="K152" s="80"/>
    </row>
    <row r="153" spans="1:11" ht="13.8" x14ac:dyDescent="0.3">
      <c r="A153" s="82"/>
      <c r="B153" s="83"/>
      <c r="C153" s="24"/>
      <c r="D153" s="22"/>
      <c r="E153" s="22"/>
      <c r="F153" s="89">
        <f>SUM(F3:F152)</f>
        <v>33</v>
      </c>
      <c r="G153" s="90"/>
      <c r="H153" s="90"/>
      <c r="I153" s="22"/>
      <c r="J153" s="22"/>
      <c r="K153" s="22"/>
    </row>
  </sheetData>
  <phoneticPr fontId="9" type="noConversion"/>
  <dataValidations count="4">
    <dataValidation type="list" allowBlank="1" showInputMessage="1" showErrorMessage="1" sqref="I3:I152" xr:uid="{00000000-0002-0000-0600-000000000000}">
      <formula1>"Backlog, Active, Complete, Removed"</formula1>
    </dataValidation>
    <dataValidation type="list" allowBlank="1" showInputMessage="1" showErrorMessage="1" sqref="D3:D65536" xr:uid="{00000000-0002-0000-0600-000001000000}">
      <formula1>Release_List</formula1>
    </dataValidation>
    <dataValidation type="list" allowBlank="1" showInputMessage="1" showErrorMessage="1" sqref="E3:E65536" xr:uid="{00000000-0002-0000-0600-000002000000}">
      <formula1>Sprint_List</formula1>
    </dataValidation>
    <dataValidation type="list" allowBlank="1" showInputMessage="1" showErrorMessage="1" sqref="C153:C65536" xr:uid="{00000000-0002-0000-0600-000003000000}">
      <formula1>Theme_List</formula1>
    </dataValidation>
  </dataValidations>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U36"/>
  <sheetViews>
    <sheetView workbookViewId="0">
      <selection activeCell="S30" sqref="S30:U31"/>
    </sheetView>
  </sheetViews>
  <sheetFormatPr defaultColWidth="9.109375" defaultRowHeight="13.8" x14ac:dyDescent="0.3"/>
  <cols>
    <col min="1" max="1" width="14.109375" style="22" customWidth="1"/>
    <col min="2" max="2" width="15.88671875" style="22" customWidth="1"/>
    <col min="3" max="3" width="14.109375" style="22" customWidth="1"/>
    <col min="4" max="5" width="9.109375" style="22"/>
    <col min="6" max="6" width="7.5546875" style="22" customWidth="1"/>
    <col min="7" max="7" width="10.44140625" style="22" customWidth="1"/>
    <col min="8" max="16384" width="9.109375" style="22"/>
  </cols>
  <sheetData>
    <row r="2" spans="1:9" ht="15.6" x14ac:dyDescent="0.3">
      <c r="B2" s="234" t="s">
        <v>55</v>
      </c>
      <c r="C2" s="235"/>
      <c r="G2" s="236" t="s">
        <v>61</v>
      </c>
      <c r="H2" s="237"/>
      <c r="I2" s="233"/>
    </row>
    <row r="3" spans="1:9" ht="27" customHeight="1" x14ac:dyDescent="0.3">
      <c r="B3" s="91" t="s">
        <v>50</v>
      </c>
      <c r="C3" s="92" t="s">
        <v>43</v>
      </c>
      <c r="G3" s="91" t="s">
        <v>74</v>
      </c>
      <c r="H3" s="91" t="s">
        <v>62</v>
      </c>
      <c r="I3" s="92" t="s">
        <v>43</v>
      </c>
    </row>
    <row r="4" spans="1:9" x14ac:dyDescent="0.3">
      <c r="B4" s="93" t="str">
        <f>'Release Planning'!B5</f>
        <v>R1</v>
      </c>
      <c r="C4" s="94">
        <v>100</v>
      </c>
      <c r="G4" s="93" t="str">
        <f>'Release Planning'!D5</f>
        <v>R1</v>
      </c>
      <c r="H4" s="93" t="str">
        <f>'Release Planning'!C5</f>
        <v>S1</v>
      </c>
      <c r="I4" s="94">
        <v>100</v>
      </c>
    </row>
    <row r="5" spans="1:9" x14ac:dyDescent="0.3">
      <c r="B5" s="93" t="str">
        <f>'Release Planning'!B6</f>
        <v>R2</v>
      </c>
      <c r="C5" s="94">
        <v>50</v>
      </c>
      <c r="G5" s="93" t="str">
        <f>'Release Planning'!D6</f>
        <v>R1</v>
      </c>
      <c r="H5" s="93" t="str">
        <f>'Release Planning'!C6</f>
        <v>S2</v>
      </c>
      <c r="I5" s="94">
        <v>60</v>
      </c>
    </row>
    <row r="6" spans="1:9" x14ac:dyDescent="0.3">
      <c r="B6" s="95" t="str">
        <f>'Release Planning'!B7</f>
        <v>R3</v>
      </c>
      <c r="C6" s="94">
        <v>42</v>
      </c>
      <c r="G6" s="93" t="str">
        <f>'Release Planning'!D7</f>
        <v>R2</v>
      </c>
      <c r="H6" s="93" t="str">
        <f>'Release Planning'!C7</f>
        <v>S3</v>
      </c>
      <c r="I6" s="94">
        <v>70</v>
      </c>
    </row>
    <row r="7" spans="1:9" x14ac:dyDescent="0.3">
      <c r="B7" s="95" t="str">
        <f>'Release Planning'!B8</f>
        <v>R4</v>
      </c>
      <c r="C7" s="94"/>
      <c r="G7" s="93" t="str">
        <f>'Release Planning'!D8</f>
        <v>R2</v>
      </c>
      <c r="H7" s="93" t="str">
        <f>'Release Planning'!C8</f>
        <v>S4</v>
      </c>
      <c r="I7" s="94">
        <v>50</v>
      </c>
    </row>
    <row r="8" spans="1:9" x14ac:dyDescent="0.3">
      <c r="B8" s="95" t="str">
        <f>'Release Planning'!B9</f>
        <v>R5</v>
      </c>
      <c r="C8" s="94"/>
      <c r="G8" s="93" t="str">
        <f>'Release Planning'!D9</f>
        <v>R2</v>
      </c>
      <c r="H8" s="93" t="str">
        <f>'Release Planning'!C9</f>
        <v>S5</v>
      </c>
      <c r="I8" s="94"/>
    </row>
    <row r="9" spans="1:9" x14ac:dyDescent="0.3">
      <c r="B9" s="95" t="str">
        <f>'Release Planning'!B10</f>
        <v>R6</v>
      </c>
      <c r="C9" s="94"/>
      <c r="G9" s="93" t="str">
        <f>'Release Planning'!D10</f>
        <v>R2</v>
      </c>
      <c r="H9" s="93" t="str">
        <f>'Release Planning'!C10</f>
        <v>S6</v>
      </c>
      <c r="I9" s="94"/>
    </row>
    <row r="10" spans="1:9" x14ac:dyDescent="0.3">
      <c r="B10" s="95" t="str">
        <f>'Release Planning'!B11</f>
        <v>R7</v>
      </c>
      <c r="C10" s="94"/>
      <c r="G10" s="93" t="str">
        <f>'Release Planning'!D11</f>
        <v>R2</v>
      </c>
      <c r="H10" s="93" t="str">
        <f>'Release Planning'!C11</f>
        <v>S7</v>
      </c>
      <c r="I10" s="94"/>
    </row>
    <row r="11" spans="1:9" x14ac:dyDescent="0.3">
      <c r="B11" s="95" t="str">
        <f>'Release Planning'!B12</f>
        <v>R8</v>
      </c>
      <c r="C11" s="94"/>
      <c r="G11" s="93" t="str">
        <f>'Release Planning'!D12</f>
        <v>R2</v>
      </c>
      <c r="H11" s="93" t="str">
        <f>'Release Planning'!C12</f>
        <v>S8</v>
      </c>
      <c r="I11" s="94"/>
    </row>
    <row r="12" spans="1:9" x14ac:dyDescent="0.3">
      <c r="B12" s="95" t="str">
        <f>'Release Planning'!B13</f>
        <v>R9</v>
      </c>
      <c r="C12" s="94"/>
      <c r="G12" s="93">
        <f>'Release Planning'!D13</f>
        <v>0</v>
      </c>
      <c r="H12" s="93">
        <f>'Release Planning'!C13</f>
        <v>0</v>
      </c>
      <c r="I12" s="94"/>
    </row>
    <row r="13" spans="1:9" x14ac:dyDescent="0.3">
      <c r="B13" s="95" t="str">
        <f>'Release Planning'!B14</f>
        <v>R10</v>
      </c>
      <c r="C13" s="94"/>
      <c r="G13" s="93">
        <f>'Release Planning'!D14</f>
        <v>0</v>
      </c>
      <c r="H13" s="93">
        <f>'Release Planning'!C14</f>
        <v>0</v>
      </c>
      <c r="I13" s="94"/>
    </row>
    <row r="14" spans="1:9" x14ac:dyDescent="0.3">
      <c r="B14" s="95" t="str">
        <f>'Release Planning'!B15</f>
        <v>R11</v>
      </c>
      <c r="C14" s="94"/>
      <c r="G14" s="93">
        <f>'Release Planning'!D15</f>
        <v>0</v>
      </c>
      <c r="H14" s="93">
        <f>'Release Planning'!C15</f>
        <v>0</v>
      </c>
      <c r="I14" s="94"/>
    </row>
    <row r="15" spans="1:9" x14ac:dyDescent="0.3">
      <c r="B15" s="95" t="str">
        <f>'Release Planning'!B16</f>
        <v>R12</v>
      </c>
      <c r="C15" s="94"/>
      <c r="G15" s="93">
        <f>'Release Planning'!D16</f>
        <v>0</v>
      </c>
      <c r="H15" s="93">
        <f>'Release Planning'!C16</f>
        <v>0</v>
      </c>
      <c r="I15" s="94"/>
    </row>
    <row r="16" spans="1:9" x14ac:dyDescent="0.3">
      <c r="A16" s="96"/>
      <c r="B16" s="96"/>
    </row>
    <row r="17" spans="1:21" x14ac:dyDescent="0.3">
      <c r="A17" s="96"/>
      <c r="B17" s="96"/>
    </row>
    <row r="18" spans="1:21" x14ac:dyDescent="0.3">
      <c r="A18" s="96"/>
      <c r="B18" s="96"/>
    </row>
    <row r="19" spans="1:21" x14ac:dyDescent="0.3">
      <c r="A19" s="96"/>
      <c r="B19" s="96"/>
    </row>
    <row r="20" spans="1:21" x14ac:dyDescent="0.3">
      <c r="A20" s="96"/>
      <c r="B20" s="96"/>
    </row>
    <row r="21" spans="1:21" x14ac:dyDescent="0.3">
      <c r="A21" s="96"/>
      <c r="B21" s="96"/>
    </row>
    <row r="22" spans="1:21" x14ac:dyDescent="0.3">
      <c r="A22" s="96"/>
      <c r="B22" s="96"/>
    </row>
    <row r="24" spans="1:21" x14ac:dyDescent="0.3">
      <c r="D24" s="97"/>
    </row>
    <row r="25" spans="1:21" x14ac:dyDescent="0.3">
      <c r="D25" s="98"/>
    </row>
    <row r="26" spans="1:21" x14ac:dyDescent="0.3">
      <c r="D26" s="98"/>
    </row>
    <row r="27" spans="1:21" x14ac:dyDescent="0.3">
      <c r="D27" s="98"/>
      <c r="M27" s="99"/>
      <c r="N27" s="99"/>
      <c r="O27" s="98"/>
      <c r="P27" s="100"/>
      <c r="Q27" s="100"/>
    </row>
    <row r="28" spans="1:21" x14ac:dyDescent="0.3">
      <c r="D28" s="98"/>
      <c r="M28" s="99"/>
      <c r="N28" s="99"/>
      <c r="O28" s="98"/>
      <c r="P28" s="100"/>
      <c r="Q28" s="100"/>
    </row>
    <row r="29" spans="1:21" x14ac:dyDescent="0.3">
      <c r="D29" s="98"/>
      <c r="M29" s="99"/>
      <c r="N29" s="99"/>
      <c r="O29" s="98"/>
      <c r="P29" s="100"/>
      <c r="Q29" s="100"/>
    </row>
    <row r="30" spans="1:21" x14ac:dyDescent="0.3">
      <c r="D30" s="98"/>
      <c r="M30" s="99"/>
      <c r="N30" s="99"/>
      <c r="O30" s="98"/>
      <c r="P30" s="100"/>
      <c r="Q30" s="100"/>
      <c r="S30" s="22" t="s">
        <v>36</v>
      </c>
      <c r="T30" s="22" t="s">
        <v>343</v>
      </c>
      <c r="U30" s="22">
        <v>100</v>
      </c>
    </row>
    <row r="31" spans="1:21" x14ac:dyDescent="0.3">
      <c r="D31" s="98"/>
      <c r="M31" s="99"/>
      <c r="N31" s="99"/>
      <c r="O31" s="98"/>
      <c r="P31" s="100"/>
      <c r="Q31" s="100"/>
      <c r="S31" s="22" t="s">
        <v>36</v>
      </c>
      <c r="T31" s="22" t="s">
        <v>344</v>
      </c>
      <c r="U31" s="22">
        <v>60</v>
      </c>
    </row>
    <row r="32" spans="1:21" x14ac:dyDescent="0.3">
      <c r="D32" s="98"/>
      <c r="M32" s="99"/>
      <c r="N32" s="99"/>
      <c r="O32" s="98"/>
      <c r="P32" s="100"/>
      <c r="Q32" s="100"/>
    </row>
    <row r="33" spans="4:17" x14ac:dyDescent="0.3">
      <c r="D33" s="98"/>
      <c r="M33" s="99"/>
      <c r="N33" s="99"/>
      <c r="O33" s="98"/>
      <c r="P33" s="100"/>
      <c r="Q33" s="100"/>
    </row>
    <row r="34" spans="4:17" x14ac:dyDescent="0.3">
      <c r="D34" s="98"/>
      <c r="M34" s="100"/>
      <c r="N34" s="100"/>
      <c r="O34" s="100"/>
      <c r="P34" s="100"/>
      <c r="Q34" s="100"/>
    </row>
    <row r="35" spans="4:17" x14ac:dyDescent="0.3">
      <c r="D35" s="98"/>
      <c r="M35" s="100"/>
      <c r="N35" s="100"/>
      <c r="O35" s="100"/>
      <c r="P35" s="100"/>
      <c r="Q35" s="100"/>
    </row>
    <row r="36" spans="4:17" x14ac:dyDescent="0.3">
      <c r="D36" s="98"/>
    </row>
  </sheetData>
  <mergeCells count="2">
    <mergeCell ref="B2:C2"/>
    <mergeCell ref="G2:I2"/>
  </mergeCells>
  <phoneticPr fontId="9"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drawing r:id="rId2"/>
  <legacyDrawing r:id="rId3"/>
  <controls>
    <mc:AlternateContent xmlns:mc="http://schemas.openxmlformats.org/markup-compatibility/2006">
      <mc:Choice Requires="x14">
        <control shapeId="9219" r:id="rId4" name="ComboBox1">
          <controlPr defaultSize="0" autoLine="0" listFillRange="Release_List" r:id="rId5">
            <anchor moveWithCells="1">
              <from>
                <xdr:col>6</xdr:col>
                <xdr:colOff>0</xdr:colOff>
                <xdr:row>15</xdr:row>
                <xdr:rowOff>83820</xdr:rowOff>
              </from>
              <to>
                <xdr:col>7</xdr:col>
                <xdr:colOff>495300</xdr:colOff>
                <xdr:row>17</xdr:row>
                <xdr:rowOff>38100</xdr:rowOff>
              </to>
            </anchor>
          </controlPr>
        </control>
      </mc:Choice>
      <mc:Fallback>
        <control shapeId="9219" r:id="rId4" name="ComboBox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3:U35"/>
  <sheetViews>
    <sheetView zoomScaleNormal="100" workbookViewId="0">
      <selection activeCell="D5" sqref="D5"/>
    </sheetView>
  </sheetViews>
  <sheetFormatPr defaultColWidth="9.109375" defaultRowHeight="13.8" x14ac:dyDescent="0.3"/>
  <cols>
    <col min="1" max="3" width="9.109375" style="22"/>
    <col min="4" max="4" width="10.44140625" style="22" bestFit="1" customWidth="1"/>
    <col min="5" max="7" width="9.109375" style="22"/>
    <col min="8" max="8" width="12.44140625" style="22" customWidth="1"/>
    <col min="9" max="16384" width="9.109375" style="22"/>
  </cols>
  <sheetData>
    <row r="3" spans="2:7" ht="35.25" customHeight="1" x14ac:dyDescent="0.3">
      <c r="B3" s="236" t="s">
        <v>80</v>
      </c>
      <c r="C3" s="237"/>
      <c r="D3" s="233"/>
    </row>
    <row r="4" spans="2:7" ht="27.6" x14ac:dyDescent="0.3">
      <c r="B4" s="91" t="s">
        <v>74</v>
      </c>
      <c r="C4" s="91" t="s">
        <v>62</v>
      </c>
      <c r="D4" s="92" t="s">
        <v>81</v>
      </c>
    </row>
    <row r="5" spans="2:7" x14ac:dyDescent="0.3">
      <c r="B5" s="93" t="str">
        <f>'Release Planning'!D5</f>
        <v>R1</v>
      </c>
      <c r="C5" s="93" t="str">
        <f>'Release Planning'!C5</f>
        <v>S1</v>
      </c>
      <c r="D5" s="94">
        <f>SUMIF('Product Backlog Details'!$E$3:$E$28,"="&amp;'Burn Up Chart'!C5,'Product Backlog Details'!G3:G28)</f>
        <v>11</v>
      </c>
      <c r="F5" s="101"/>
      <c r="G5" s="101"/>
    </row>
    <row r="6" spans="2:7" x14ac:dyDescent="0.3">
      <c r="B6" s="93" t="str">
        <f>'Release Planning'!D6</f>
        <v>R1</v>
      </c>
      <c r="C6" s="93" t="str">
        <f>'Release Planning'!C6</f>
        <v>S2</v>
      </c>
      <c r="D6" s="94">
        <f>SUMIF('Product Backlog Details'!$E$3:$E$28,"="&amp;'Burn Up Chart'!C6,'Product Backlog Details'!G4:G29)</f>
        <v>0</v>
      </c>
      <c r="G6" s="101"/>
    </row>
    <row r="7" spans="2:7" x14ac:dyDescent="0.3">
      <c r="B7" s="93" t="str">
        <f>'Release Planning'!D7</f>
        <v>R2</v>
      </c>
      <c r="C7" s="93" t="str">
        <f>'Release Planning'!C7</f>
        <v>S3</v>
      </c>
      <c r="D7" s="94">
        <f>SUMIF('Product Backlog Details'!$E$3:$E$28,"="&amp;'Burn Up Chart'!C7,'Product Backlog Details'!G5:G30)</f>
        <v>0</v>
      </c>
      <c r="G7" s="101"/>
    </row>
    <row r="8" spans="2:7" x14ac:dyDescent="0.3">
      <c r="B8" s="93" t="str">
        <f>'Release Planning'!D8</f>
        <v>R2</v>
      </c>
      <c r="C8" s="93" t="str">
        <f>'Release Planning'!C8</f>
        <v>S4</v>
      </c>
      <c r="D8" s="94">
        <f>SUMIF('Product Backlog Details'!$E$3:$E$28,"="&amp;'Burn Up Chart'!C8,'Product Backlog Details'!G6:G31)</f>
        <v>0</v>
      </c>
      <c r="G8" s="101"/>
    </row>
    <row r="9" spans="2:7" x14ac:dyDescent="0.3">
      <c r="B9" s="93" t="str">
        <f>'Release Planning'!D9</f>
        <v>R2</v>
      </c>
      <c r="C9" s="93" t="str">
        <f>'Release Planning'!C9</f>
        <v>S5</v>
      </c>
      <c r="D9" s="94">
        <f>SUMIF('Product Backlog Details'!$E$3:$E$28,"="&amp;'Burn Up Chart'!C9,'Product Backlog Details'!G7:G32)</f>
        <v>0</v>
      </c>
      <c r="G9" s="101"/>
    </row>
    <row r="10" spans="2:7" x14ac:dyDescent="0.3">
      <c r="B10" s="93" t="str">
        <f>'Release Planning'!D10</f>
        <v>R2</v>
      </c>
      <c r="C10" s="93" t="str">
        <f>'Release Planning'!C10</f>
        <v>S6</v>
      </c>
      <c r="D10" s="94">
        <f>SUMIF('Product Backlog Details'!$E$3:$E$28,"="&amp;'Burn Up Chart'!C10,'Product Backlog Details'!G8:G33)</f>
        <v>0</v>
      </c>
      <c r="G10" s="101"/>
    </row>
    <row r="11" spans="2:7" x14ac:dyDescent="0.3">
      <c r="B11" s="93" t="str">
        <f>'Release Planning'!D11</f>
        <v>R2</v>
      </c>
      <c r="C11" s="93" t="str">
        <f>'Release Planning'!C11</f>
        <v>S7</v>
      </c>
      <c r="D11" s="94">
        <f>SUMIF('Product Backlog Details'!$E$3:$E$28,"="&amp;'Burn Up Chart'!C11,'Product Backlog Details'!G9:G34)</f>
        <v>0</v>
      </c>
      <c r="G11" s="101"/>
    </row>
    <row r="12" spans="2:7" x14ac:dyDescent="0.3">
      <c r="B12" s="93" t="str">
        <f>'Release Planning'!D12</f>
        <v>R2</v>
      </c>
      <c r="C12" s="93" t="str">
        <f>'Release Planning'!C12</f>
        <v>S8</v>
      </c>
      <c r="D12" s="94">
        <f>SUMIF('Product Backlog Details'!$E$3:$E$28,"="&amp;'Burn Up Chart'!C12,'Product Backlog Details'!G10:G35)</f>
        <v>0</v>
      </c>
    </row>
    <row r="13" spans="2:7" x14ac:dyDescent="0.3">
      <c r="B13" s="93">
        <f>'Release Planning'!D13</f>
        <v>0</v>
      </c>
      <c r="C13" s="93">
        <f>'Release Planning'!C13</f>
        <v>0</v>
      </c>
      <c r="D13" s="94">
        <f>SUMIF('Product Backlog Details'!$E$3:$E$28,"="&amp;'Burn Up Chart'!C13,'Product Backlog Details'!G11:G36)</f>
        <v>0</v>
      </c>
    </row>
    <row r="14" spans="2:7" x14ac:dyDescent="0.3">
      <c r="B14" s="93">
        <f>'Release Planning'!D14</f>
        <v>0</v>
      </c>
      <c r="C14" s="93">
        <f>'Release Planning'!C14</f>
        <v>0</v>
      </c>
      <c r="D14" s="94">
        <f>SUMIF('Product Backlog Details'!$E$3:$E$28,"="&amp;'Burn Up Chart'!C14,'Product Backlog Details'!G12:G37)</f>
        <v>0</v>
      </c>
    </row>
    <row r="15" spans="2:7" x14ac:dyDescent="0.3">
      <c r="B15" s="93">
        <f>'Release Planning'!D15</f>
        <v>0</v>
      </c>
      <c r="C15" s="93">
        <f>'Release Planning'!C15</f>
        <v>0</v>
      </c>
      <c r="D15" s="94">
        <f>SUMIF('Product Backlog Details'!$E$3:$E$28,"="&amp;'Burn Up Chart'!C15,'Product Backlog Details'!G13:G38)</f>
        <v>0</v>
      </c>
    </row>
    <row r="16" spans="2:7" x14ac:dyDescent="0.3">
      <c r="B16" s="93">
        <f>'Release Planning'!D16</f>
        <v>0</v>
      </c>
      <c r="C16" s="93">
        <f>'Release Planning'!C16</f>
        <v>0</v>
      </c>
      <c r="D16" s="94">
        <f>SUMIF('Product Backlog Details'!$E$3:$E$28,"="&amp;'Burn Up Chart'!C16,'Product Backlog Details'!G14:G39)</f>
        <v>0</v>
      </c>
    </row>
    <row r="30" spans="19:21" x14ac:dyDescent="0.3">
      <c r="S30" s="22" t="s">
        <v>37</v>
      </c>
      <c r="T30" s="22" t="s">
        <v>345</v>
      </c>
      <c r="U30" s="22">
        <v>0</v>
      </c>
    </row>
    <row r="31" spans="19:21" x14ac:dyDescent="0.3">
      <c r="S31" s="22" t="s">
        <v>37</v>
      </c>
      <c r="T31" s="22" t="s">
        <v>346</v>
      </c>
      <c r="U31" s="22">
        <v>0</v>
      </c>
    </row>
    <row r="32" spans="19:21" x14ac:dyDescent="0.3">
      <c r="S32" s="22" t="s">
        <v>37</v>
      </c>
      <c r="T32" s="22" t="s">
        <v>347</v>
      </c>
      <c r="U32" s="22">
        <v>0</v>
      </c>
    </row>
    <row r="33" spans="19:21" x14ac:dyDescent="0.3">
      <c r="S33" s="22" t="s">
        <v>37</v>
      </c>
      <c r="T33" s="22" t="s">
        <v>348</v>
      </c>
      <c r="U33" s="22">
        <v>0</v>
      </c>
    </row>
    <row r="34" spans="19:21" x14ac:dyDescent="0.3">
      <c r="S34" s="22" t="s">
        <v>37</v>
      </c>
      <c r="T34" s="22" t="s">
        <v>349</v>
      </c>
      <c r="U34" s="22">
        <v>0</v>
      </c>
    </row>
    <row r="35" spans="19:21" x14ac:dyDescent="0.3">
      <c r="S35" s="22" t="s">
        <v>37</v>
      </c>
      <c r="T35" s="22" t="s">
        <v>350</v>
      </c>
      <c r="U35" s="22">
        <v>0</v>
      </c>
    </row>
  </sheetData>
  <mergeCells count="1">
    <mergeCell ref="B3:D3"/>
  </mergeCells>
  <phoneticPr fontId="9"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drawing r:id="rId2"/>
  <legacyDrawing r:id="rId3"/>
  <controls>
    <mc:AlternateContent xmlns:mc="http://schemas.openxmlformats.org/markup-compatibility/2006">
      <mc:Choice Requires="x14">
        <control shapeId="12298" r:id="rId4" name="ComboBox2">
          <controlPr defaultSize="0" autoLine="0" listFillRange="Release_List" r:id="rId5">
            <anchor moveWithCells="1" sizeWithCells="1">
              <from>
                <xdr:col>5</xdr:col>
                <xdr:colOff>411480</xdr:colOff>
                <xdr:row>2</xdr:row>
                <xdr:rowOff>30480</xdr:rowOff>
              </from>
              <to>
                <xdr:col>7</xdr:col>
                <xdr:colOff>381000</xdr:colOff>
                <xdr:row>2</xdr:row>
                <xdr:rowOff>335280</xdr:rowOff>
              </to>
            </anchor>
          </controlPr>
        </control>
      </mc:Choice>
      <mc:Fallback>
        <control shapeId="12298" r:id="rId4" name="ComboBox2"/>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F14"/>
  <sheetViews>
    <sheetView zoomScale="80" workbookViewId="0"/>
  </sheetViews>
  <sheetFormatPr defaultColWidth="9.109375" defaultRowHeight="13.8" x14ac:dyDescent="0.3"/>
  <cols>
    <col min="1" max="1" width="9.44140625" style="22" customWidth="1"/>
    <col min="2" max="2" width="35.5546875" style="22" customWidth="1"/>
    <col min="3" max="3" width="26.5546875" style="22" customWidth="1"/>
    <col min="4" max="4" width="19.5546875" style="22" customWidth="1"/>
    <col min="5" max="5" width="27.109375" style="22" customWidth="1"/>
    <col min="6" max="6" width="30.5546875" style="22" customWidth="1"/>
    <col min="7" max="16384" width="9.109375" style="22"/>
  </cols>
  <sheetData>
    <row r="1" spans="1:6" ht="28.8" x14ac:dyDescent="0.3">
      <c r="A1" s="102" t="s">
        <v>17</v>
      </c>
      <c r="B1" s="103"/>
      <c r="C1" s="104"/>
      <c r="D1" s="104"/>
      <c r="E1" s="104"/>
      <c r="F1" s="105"/>
    </row>
    <row r="2" spans="1:6" ht="23.25" customHeight="1" x14ac:dyDescent="0.3">
      <c r="A2" s="85" t="s">
        <v>18</v>
      </c>
      <c r="B2" s="85" t="s">
        <v>19</v>
      </c>
      <c r="C2" s="85" t="s">
        <v>20</v>
      </c>
      <c r="D2" s="85" t="s">
        <v>21</v>
      </c>
      <c r="E2" s="85" t="s">
        <v>22</v>
      </c>
      <c r="F2" s="85" t="s">
        <v>23</v>
      </c>
    </row>
    <row r="3" spans="1:6" ht="41.4" x14ac:dyDescent="0.3">
      <c r="A3" s="106"/>
      <c r="B3" s="107"/>
      <c r="C3" s="106"/>
      <c r="D3" s="106"/>
      <c r="E3" s="106" t="s">
        <v>88</v>
      </c>
      <c r="F3" s="106"/>
    </row>
    <row r="12" spans="1:6" ht="18" x14ac:dyDescent="0.3">
      <c r="A12" s="106"/>
      <c r="B12" s="107"/>
      <c r="C12" s="106"/>
      <c r="D12" s="106"/>
      <c r="E12" s="106"/>
      <c r="F12" s="108"/>
    </row>
    <row r="13" spans="1:6" ht="18" x14ac:dyDescent="0.3">
      <c r="A13" s="106"/>
      <c r="B13" s="107"/>
      <c r="C13" s="106"/>
      <c r="D13" s="106"/>
      <c r="E13" s="106"/>
      <c r="F13" s="106"/>
    </row>
    <row r="14" spans="1:6" ht="18" x14ac:dyDescent="0.3">
      <c r="A14" s="106"/>
      <c r="B14" s="107"/>
      <c r="C14" s="106"/>
      <c r="D14" s="106"/>
      <c r="E14" s="106"/>
      <c r="F14" s="106"/>
    </row>
  </sheetData>
  <phoneticPr fontId="9" type="noConversion"/>
  <pageMargins left="0.75" right="0.75" top="1" bottom="1" header="0.5" footer="0.5"/>
  <pageSetup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10"/>
  <sheetViews>
    <sheetView zoomScaleNormal="100" workbookViewId="0">
      <selection activeCell="D7" sqref="D7"/>
    </sheetView>
  </sheetViews>
  <sheetFormatPr defaultColWidth="9.109375" defaultRowHeight="13.8" x14ac:dyDescent="0.3"/>
  <cols>
    <col min="1" max="1" width="9.109375" style="111"/>
    <col min="2" max="2" width="9.5546875" style="111" bestFit="1" customWidth="1"/>
    <col min="3" max="3" width="16.5546875" style="111" customWidth="1"/>
    <col min="4" max="4" width="47.44140625" style="111" customWidth="1"/>
    <col min="5" max="5" width="23.44140625" style="111" customWidth="1"/>
    <col min="6" max="16384" width="9.109375" style="111"/>
  </cols>
  <sheetData>
    <row r="1" spans="1:8" ht="18" x14ac:dyDescent="0.35">
      <c r="A1" s="109" t="s">
        <v>29</v>
      </c>
      <c r="B1" s="110"/>
      <c r="C1" s="110"/>
      <c r="D1" s="110"/>
      <c r="E1" s="110"/>
    </row>
    <row r="2" spans="1:8" x14ac:dyDescent="0.3">
      <c r="A2" s="112"/>
      <c r="B2" s="113"/>
      <c r="C2" s="113"/>
      <c r="D2" s="113"/>
      <c r="E2" s="113"/>
    </row>
    <row r="3" spans="1:8" ht="14.4" thickBot="1" x14ac:dyDescent="0.35">
      <c r="A3" s="110"/>
      <c r="B3" s="110"/>
      <c r="C3" s="110"/>
      <c r="D3" s="110"/>
      <c r="E3" s="110"/>
    </row>
    <row r="4" spans="1:8" ht="15" thickBot="1" x14ac:dyDescent="0.35">
      <c r="A4" s="110"/>
      <c r="B4" s="114" t="s">
        <v>30</v>
      </c>
      <c r="C4" s="115" t="s">
        <v>31</v>
      </c>
      <c r="D4" s="116" t="s">
        <v>20</v>
      </c>
      <c r="E4" s="114" t="s">
        <v>32</v>
      </c>
    </row>
    <row r="5" spans="1:8" ht="15" thickBot="1" x14ac:dyDescent="0.35">
      <c r="A5" s="110"/>
      <c r="B5" s="175">
        <v>43308</v>
      </c>
      <c r="C5" s="118">
        <v>1</v>
      </c>
      <c r="D5" s="119" t="s">
        <v>317</v>
      </c>
      <c r="E5" s="117" t="s">
        <v>318</v>
      </c>
    </row>
    <row r="6" spans="1:8" ht="15" thickBot="1" x14ac:dyDescent="0.35">
      <c r="A6" s="110"/>
      <c r="B6" s="185">
        <v>43313</v>
      </c>
      <c r="C6" s="121">
        <v>2</v>
      </c>
      <c r="D6" s="122" t="s">
        <v>358</v>
      </c>
      <c r="E6" s="123" t="s">
        <v>318</v>
      </c>
    </row>
    <row r="7" spans="1:8" ht="15" thickBot="1" x14ac:dyDescent="0.35">
      <c r="A7" s="110"/>
      <c r="B7" s="124"/>
      <c r="C7" s="125"/>
      <c r="D7" s="126"/>
      <c r="E7" s="127"/>
    </row>
    <row r="8" spans="1:8" ht="15" thickBot="1" x14ac:dyDescent="0.35">
      <c r="A8" s="110"/>
      <c r="B8" s="120"/>
      <c r="C8" s="121"/>
      <c r="D8" s="122"/>
      <c r="E8" s="123"/>
      <c r="F8" s="128"/>
      <c r="H8" s="128"/>
    </row>
    <row r="9" spans="1:8" ht="14.4" x14ac:dyDescent="0.3">
      <c r="A9" s="110"/>
      <c r="B9" s="129"/>
      <c r="C9" s="130"/>
      <c r="D9" s="130"/>
      <c r="E9" s="130"/>
    </row>
    <row r="10" spans="1:8" ht="15" customHeight="1" x14ac:dyDescent="0.3">
      <c r="A10" s="110"/>
      <c r="B10" s="238" t="s">
        <v>94</v>
      </c>
      <c r="C10" s="239"/>
      <c r="D10" s="239"/>
      <c r="E10" s="240"/>
    </row>
  </sheetData>
  <mergeCells count="1">
    <mergeCell ref="B10:E10"/>
  </mergeCells>
  <pageMargins left="0.75" right="0.75" top="1" bottom="1" header="0.5" footer="0.5"/>
  <pageSetup paperSize="9" orientation="landscape" r:id="rId1"/>
  <headerFooter alignWithMargins="0">
    <oddHeader xml:space="preserve">&amp;L&amp;"-,Regular"Product Backlog </oddHeader>
    <oddFooter>&amp;L&amp;"-,Regular"Modified: &amp;D &amp;T
©2014 Accenture. All rights reserved. Confidential Information of Accenture. 
For use by Accenture personnel or on Accenture projects.&amp;C&amp;"-,Regular"&amp;P
&amp;R&amp;"-,Regular"Last modified by: User</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6D309E893176E4CAEF007E5A9F44705" ma:contentTypeVersion="6" ma:contentTypeDescription="Create a new document." ma:contentTypeScope="" ma:versionID="df53bb6df52def4fcc1f0fe6a01b8c19">
  <xsd:schema xmlns:xsd="http://www.w3.org/2001/XMLSchema" xmlns:xs="http://www.w3.org/2001/XMLSchema" xmlns:p="http://schemas.microsoft.com/office/2006/metadata/properties" xmlns:ns1="http://schemas.microsoft.com/sharepoint/v3/fields" xmlns:ns3="58474d8d-48ea-44ff-bce1-00ec2834ffc6" xmlns:ns4="6c4b891c-9799-434f-be10-ca42916c0c50" xmlns:ns5="3f557271-31b4-43d6-bc69-9bdb5f24deb1" targetNamespace="http://schemas.microsoft.com/office/2006/metadata/properties" ma:root="true" ma:fieldsID="ea331fa831d952a392d4ee1f43b5bb81" ns1:_="" ns3:_="" ns4:_="" ns5:_="">
    <xsd:import namespace="http://schemas.microsoft.com/sharepoint/v3/fields"/>
    <xsd:import namespace="58474d8d-48ea-44ff-bce1-00ec2834ffc6"/>
    <xsd:import namespace="6c4b891c-9799-434f-be10-ca42916c0c50"/>
    <xsd:import namespace="3f557271-31b4-43d6-bc69-9bdb5f24deb1"/>
    <xsd:element name="properties">
      <xsd:complexType>
        <xsd:sequence>
          <xsd:element name="documentManagement">
            <xsd:complexType>
              <xsd:all>
                <xsd:element ref="ns1:_Status" minOccurs="0"/>
                <xsd:element ref="ns3:Notes0" minOccurs="0"/>
                <xsd:element ref="ns4:Source_x0020_Method" minOccurs="0"/>
                <xsd:element ref="ns5:SharedWithUsers" minOccurs="0"/>
                <xsd:element ref="ns5: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0" nillable="true" ma:displayName="Status" ma:default="Not Started" ma:internalName="_Status">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58474d8d-48ea-44ff-bce1-00ec2834ffc6" elementFormDefault="qualified">
    <xsd:import namespace="http://schemas.microsoft.com/office/2006/documentManagement/types"/>
    <xsd:import namespace="http://schemas.microsoft.com/office/infopath/2007/PartnerControls"/>
    <xsd:element name="Notes0" ma:index="9"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c4b891c-9799-434f-be10-ca42916c0c50" elementFormDefault="qualified">
    <xsd:import namespace="http://schemas.microsoft.com/office/2006/documentManagement/types"/>
    <xsd:import namespace="http://schemas.microsoft.com/office/infopath/2007/PartnerControls"/>
    <xsd:element name="Source_x0020_Method" ma:index="10" nillable="true" ma:displayName="Source Method" ma:format="Dropdown" ma:internalName="Source_x0020_Method">
      <xsd:simpleType>
        <xsd:restriction base="dms:Choice">
          <xsd:enumeration value="Content Management"/>
          <xsd:enumeration value="Design Realization"/>
          <xsd:enumeration value="Distributed Agile Development"/>
          <xsd:enumeration value="Packaged Development"/>
        </xsd:restriction>
      </xsd:simpleType>
    </xsd:element>
  </xsd:schema>
  <xsd:schema xmlns:xsd="http://www.w3.org/2001/XMLSchema" xmlns:xs="http://www.w3.org/2001/XMLSchema" xmlns:dms="http://schemas.microsoft.com/office/2006/documentManagement/types" xmlns:pc="http://schemas.microsoft.com/office/infopath/2007/PartnerControls" targetNamespace="3f557271-31b4-43d6-bc69-9bdb5f24deb1"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ource_x0020_Method xmlns="6c4b891c-9799-434f-be10-ca42916c0c50" xsi:nil="true"/>
    <_Status xmlns="http://schemas.microsoft.com/sharepoint/v3/fields">Not Started</_Status>
    <Notes0 xmlns="58474d8d-48ea-44ff-bce1-00ec2834ffc6" xsi:nil="true"/>
  </documentManagement>
</p:properties>
</file>

<file path=customXml/item4.xml><?xml version="1.0" encoding="utf-8"?>
<LongProperties xmlns="http://schemas.microsoft.com/office/2006/metadata/longProperties"/>
</file>

<file path=customXml/item5.xml>�� 
</file>

<file path=customXml/itemProps1.xml><?xml version="1.0" encoding="utf-8"?>
<ds:datastoreItem xmlns:ds="http://schemas.openxmlformats.org/officeDocument/2006/customXml" ds:itemID="{9F8140ED-40C6-4F9B-A3F0-F4AF90CE29E0}">
  <ds:schemaRefs>
    <ds:schemaRef ds:uri="http://schemas.microsoft.com/sharepoint/v3/contenttype/forms"/>
  </ds:schemaRefs>
</ds:datastoreItem>
</file>

<file path=customXml/itemProps2.xml><?xml version="1.0" encoding="utf-8"?>
<ds:datastoreItem xmlns:ds="http://schemas.openxmlformats.org/officeDocument/2006/customXml" ds:itemID="{15EB253D-C244-489B-AD38-484FE1AC8F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58474d8d-48ea-44ff-bce1-00ec2834ffc6"/>
    <ds:schemaRef ds:uri="6c4b891c-9799-434f-be10-ca42916c0c50"/>
    <ds:schemaRef ds:uri="3f557271-31b4-43d6-bc69-9bdb5f24de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88E390-2B1E-42A2-BF0C-3771781C776A}">
  <ds:schemaRefs>
    <ds:schemaRef ds:uri="http://schemas.microsoft.com/office/2006/documentManagement/types"/>
    <ds:schemaRef ds:uri="http://www.w3.org/XML/1998/namespace"/>
    <ds:schemaRef ds:uri="http://purl.org/dc/dcmitype/"/>
    <ds:schemaRef ds:uri="http://purl.org/dc/terms/"/>
    <ds:schemaRef ds:uri="http://schemas.microsoft.com/office/infopath/2007/PartnerControls"/>
    <ds:schemaRef ds:uri="http://purl.org/dc/elements/1.1/"/>
    <ds:schemaRef ds:uri="6c4b891c-9799-434f-be10-ca42916c0c50"/>
    <ds:schemaRef ds:uri="3f557271-31b4-43d6-bc69-9bdb5f24deb1"/>
    <ds:schemaRef ds:uri="http://schemas.openxmlformats.org/package/2006/metadata/core-properties"/>
    <ds:schemaRef ds:uri="58474d8d-48ea-44ff-bce1-00ec2834ffc6"/>
    <ds:schemaRef ds:uri="http://schemas.microsoft.com/sharepoint/v3/fields"/>
    <ds:schemaRef ds:uri="http://schemas.microsoft.com/office/2006/metadata/properties"/>
  </ds:schemaRefs>
</ds:datastoreItem>
</file>

<file path=customXml/itemProps4.xml><?xml version="1.0" encoding="utf-8"?>
<ds:datastoreItem xmlns:ds="http://schemas.openxmlformats.org/officeDocument/2006/customXml" ds:itemID="{5CAD3022-B854-41D1-A232-766474E83AD9}">
  <ds:schemaRefs>
    <ds:schemaRef ds:uri="http://schemas.microsoft.com/office/2006/metadata/longProperties"/>
  </ds:schemaRefs>
</ds:datastoreItem>
</file>

<file path=customXml/itemProps5.xml><?xml version="1.0" encoding="utf-8"?>
<ds:datastoreItem xmlns:ds="http://schemas.openxmlformats.org/officeDocument/2006/customXml" ds:itemID="{7CE44807-7FCF-444B-9621-8BDE9FE433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12</vt:i4>
      </vt:variant>
    </vt:vector>
  </HeadingPairs>
  <TitlesOfParts>
    <vt:vector size="29" baseType="lpstr">
      <vt:lpstr>Cover Sheet</vt:lpstr>
      <vt:lpstr>Tab Description</vt:lpstr>
      <vt:lpstr>Inventario</vt:lpstr>
      <vt:lpstr>tareas</vt:lpstr>
      <vt:lpstr>End_to_end</vt:lpstr>
      <vt:lpstr>Holidays</vt:lpstr>
      <vt:lpstr>Sprints</vt:lpstr>
      <vt:lpstr>Instructions</vt:lpstr>
      <vt:lpstr>Sheet2</vt:lpstr>
      <vt:lpstr>Definitions</vt:lpstr>
      <vt:lpstr>Release Planning</vt:lpstr>
      <vt:lpstr>Product Backlog</vt:lpstr>
      <vt:lpstr>Product Backlog Details</vt:lpstr>
      <vt:lpstr>Burn Down Charts</vt:lpstr>
      <vt:lpstr>Burn Up Chart</vt:lpstr>
      <vt:lpstr>Non Functional Reqs</vt:lpstr>
      <vt:lpstr>Revision History</vt:lpstr>
      <vt:lpstr>'Burn Down Charts'!BacklogValues</vt:lpstr>
      <vt:lpstr>'Burn Down Charts'!Criteria</vt:lpstr>
      <vt:lpstr>'Burn Down Charts'!Extract</vt:lpstr>
      <vt:lpstr>horas_2</vt:lpstr>
      <vt:lpstr>horas_4</vt:lpstr>
      <vt:lpstr>horas4</vt:lpstr>
      <vt:lpstr>Id_List</vt:lpstr>
      <vt:lpstr>min_15</vt:lpstr>
      <vt:lpstr>Release_List</vt:lpstr>
      <vt:lpstr>Releases</vt:lpstr>
      <vt:lpstr>Sprint_List</vt:lpstr>
      <vt:lpstr>Theme_List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Backlog Template</dc:title>
  <dc:creator>santosh.d.kshirsagar</dc:creator>
  <cp:lastModifiedBy>Agudelo, Diego</cp:lastModifiedBy>
  <cp:lastPrinted>2013-12-23T07:00:55Z</cp:lastPrinted>
  <dcterms:created xsi:type="dcterms:W3CDTF">2007-12-04T17:05:21Z</dcterms:created>
  <dcterms:modified xsi:type="dcterms:W3CDTF">2018-09-04T11:38:06Z</dcterms:modified>
  <cp:contentStatus>Scheduled</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0x010100C6D309E893176E4CAEF007E5A9F44705</vt:lpwstr>
  </property>
  <property fmtid="{D5CDD505-2E9C-101B-9397-08002B2CF9AE}" pid="3" name="MSIP_Label_1bc0f418-96a4-4caf-9d7c-ccc5ec7f9d91_Enabled">
    <vt:lpwstr>True</vt:lpwstr>
  </property>
  <property fmtid="{D5CDD505-2E9C-101B-9397-08002B2CF9AE}" pid="4" name="MSIP_Label_1bc0f418-96a4-4caf-9d7c-ccc5ec7f9d91_SiteId">
    <vt:lpwstr>e0793d39-0939-496d-b129-198edd916feb</vt:lpwstr>
  </property>
  <property fmtid="{D5CDD505-2E9C-101B-9397-08002B2CF9AE}" pid="5" name="MSIP_Label_1bc0f418-96a4-4caf-9d7c-ccc5ec7f9d91_Owner">
    <vt:lpwstr>diego.agudelo@accenture.com</vt:lpwstr>
  </property>
  <property fmtid="{D5CDD505-2E9C-101B-9397-08002B2CF9AE}" pid="6" name="MSIP_Label_1bc0f418-96a4-4caf-9d7c-ccc5ec7f9d91_SetDate">
    <vt:lpwstr>2018-08-15T14:02:31.6633592Z</vt:lpwstr>
  </property>
  <property fmtid="{D5CDD505-2E9C-101B-9397-08002B2CF9AE}" pid="7" name="MSIP_Label_1bc0f418-96a4-4caf-9d7c-ccc5ec7f9d91_Name">
    <vt:lpwstr>Unrestricted</vt:lpwstr>
  </property>
  <property fmtid="{D5CDD505-2E9C-101B-9397-08002B2CF9AE}" pid="8" name="MSIP_Label_1bc0f418-96a4-4caf-9d7c-ccc5ec7f9d91_Application">
    <vt:lpwstr>Microsoft Azure Information Protection</vt:lpwstr>
  </property>
  <property fmtid="{D5CDD505-2E9C-101B-9397-08002B2CF9AE}" pid="9" name="MSIP_Label_1bc0f418-96a4-4caf-9d7c-ccc5ec7f9d91_Extended_MSFT_Method">
    <vt:lpwstr>Manual</vt:lpwstr>
  </property>
  <property fmtid="{D5CDD505-2E9C-101B-9397-08002B2CF9AE}" pid="10" name="Sensitivity">
    <vt:lpwstr>Unrestricted</vt:lpwstr>
  </property>
</Properties>
</file>